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duardo\Downloads\"/>
    </mc:Choice>
  </mc:AlternateContent>
  <xr:revisionPtr revIDLastSave="0" documentId="8_{3D4726FA-21AC-4BAF-9515-E35BD8EBD57F}" xr6:coauthVersionLast="47" xr6:coauthVersionMax="47" xr10:uidLastSave="{00000000-0000-0000-0000-000000000000}"/>
  <bookViews>
    <workbookView xWindow="-108" yWindow="-108" windowWidth="23256" windowHeight="12456" xr2:uid="{F8A4F7D3-343C-4C2E-8E25-2CF23C4D04A6}"/>
  </bookViews>
  <sheets>
    <sheet name="Base_Datos_REFINADA_23_METRIC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5" i="1" l="1"/>
  <c r="H84" i="1"/>
  <c r="H83" i="1"/>
  <c r="H82" i="1"/>
  <c r="H75" i="1"/>
  <c r="H74" i="1"/>
  <c r="H73" i="1"/>
  <c r="H72" i="1"/>
  <c r="A47" i="1"/>
  <c r="H19" i="1"/>
  <c r="H81" i="1" s="1"/>
</calcChain>
</file>

<file path=xl/sharedStrings.xml><?xml version="1.0" encoding="utf-8"?>
<sst xmlns="http://schemas.openxmlformats.org/spreadsheetml/2006/main" count="725" uniqueCount="577">
  <si>
    <t>ID</t>
  </si>
  <si>
    <t>TITULO</t>
  </si>
  <si>
    <t>AÑO</t>
  </si>
  <si>
    <t>AUTOR</t>
  </si>
  <si>
    <t>REVISTA</t>
  </si>
  <si>
    <t>RELEVANCIA</t>
  </si>
  <si>
    <t>TIENE_VALIDACIÓN</t>
  </si>
  <si>
    <t>PRECISION_%</t>
  </si>
  <si>
    <t>RECALL_%</t>
  </si>
  <si>
    <t>F1_%</t>
  </si>
  <si>
    <t>mAP50_%</t>
  </si>
  <si>
    <t>mAP75_%</t>
  </si>
  <si>
    <t>mAP50_95_%</t>
  </si>
  <si>
    <t>AUC50_%</t>
  </si>
  <si>
    <t>AUC75_%</t>
  </si>
  <si>
    <t>RMSE_NUM</t>
  </si>
  <si>
    <t>MAE_%</t>
  </si>
  <si>
    <t>MAE_NUM</t>
  </si>
  <si>
    <t>MÉTRICAS_DETECTADAS</t>
  </si>
  <si>
    <t>METRICAS_DE_IMPACTO</t>
  </si>
  <si>
    <t>OTRAS_METRICAS</t>
  </si>
  <si>
    <t>TECNOLOGÍAS_CORE</t>
  </si>
  <si>
    <t>TECNOLOGÍAS_SUPPORT</t>
  </si>
  <si>
    <t>OBSERVACIONES</t>
  </si>
  <si>
    <t>¿Qué tecnologías o combinación de tecnologías se utilizan en las metodologías de automatización del control de avance y cuál es su nivel de integración?</t>
  </si>
  <si>
    <t>¿Cuáles son los procesos constructivos específicos o fases de obra a los que se aplican las metodologías de automatización del control de avance?</t>
  </si>
  <si>
    <t>¿Qué componentes metodológicos utiliza cada enfoque para automatizar el ciclo completo del control de avance (captura, procesamiento, comparación y reporte)?</t>
  </si>
  <si>
    <t>BRECHA 1</t>
  </si>
  <si>
    <t>BRECHA 2</t>
  </si>
  <si>
    <t>BRECHA 3</t>
  </si>
  <si>
    <t>BRECHA 4</t>
  </si>
  <si>
    <t>Integrating geometric models, site images and GIS based on Google Earth.</t>
  </si>
  <si>
    <t>LI D;LU M</t>
  </si>
  <si>
    <t>Automation in Construction</t>
  </si>
  <si>
    <t>SÍ_Híbrido</t>
  </si>
  <si>
    <t>SÍ</t>
  </si>
  <si>
    <t>Error promedio 8 mm, desviación 29 mm, resolución 1.2 cm, tiempo 4 horas</t>
  </si>
  <si>
    <t>BIM, UAV, Fotogrametría, GIS, Google Earth</t>
  </si>
  <si>
    <t>La metodología integra UAV (DJI Inspire One Pro) para captura aérea, cámaras digitales y smartphones para imágenes terrestres, structure from motion (SfM) mediante software comercial Pix4D para reconstrucción 3D automatizada y geo-referenciación de imágenes, Google Earth como plataforma GIS 3D, Keyhole Markup Language (KML) basado en XML para gestión de datos, almacenamiento en nube (Dropbox) con URLs permanentes, software BIM (Google SketchUp, Autodesk Revit) para modelos as-planned, COLLADA para representación de modelos 3D, y Geospatial Data Abstraction Library (GDAL) para conversión de imágenes GeoTIFF a tiles KMZ. El nivel de integración es alto: flujo automático desde captura UAV → procesamiento SfM (bundle adjustment para optimización de poses) → geo-referenciación sin control terrestre → generación KML automática mediante scripts Python → vinculación cloud storage → visualización integrada AR/VR en Google Earth, con time stamps vinculando imágenes as-built y modelos 4D as-planned en única interfaz espaciotemporal.</t>
  </si>
  <si>
    <t>La metodología se aplica desde pre-construcción (identificación de restricciones constructivas, planificación de accesos, layout temporal, planificación de tráfico, verificación de constructibilidad en áreas urbanas confinadas) hasta fase de construcción activa: movimiento de tierras (estimación volumétrica automatizada de stockpiles mediante reconstrucción 3D densa con precisión relativa de 8mm promedio, monitoreo de balance corte-relleno), construcción de cimentaciones, estructura (primer piso, segundo piso, techado), trabajos de carpintería, almacenamiento de materiales, y monitoreo de layout de sitio. Los casos de estudio demuestran aplicabilidad a proyectos de infraestructura vial (viaducto urbano de 800m con 13 segmentos de vigas de acero, construcción de pilares, cabezales, tableros) y edificación residencial (cimentación, estructura de pisos, barandales, cubierta). El enfoque soporta monitoreo continuo incremental: captura de imágenes en diferentes etapas (Time T0, T1, T2...) con alineación secuencial automática, permitiendo seguimiento temporal de actividades concurrentes y layout dinámico del sitio.</t>
  </si>
  <si>
    <t>(1) Captura: adquisición automatizada multi-temporal mediante UAV (160 imágenes aéreas/sesión con overlap suficiente) sin puntos de control terrestres, complementada con imágenes terrestres dispersas desde móviles/cámaras, con metadatos GPS/timestamp automáticos desde sensores de navegación UAV. (2) Procesamiento: pipeline SfM completamente automatizado (detección automática de tie points mediante feature matching, epipolar geometry constraints, bundle adjustment para optimización global de poses y coordenadas 3D, corrección de distorsión), generando imágenes geo-referenciadas con orientación precisa, mosaicos panorámicos de alta resolución (300 megapixels, 0.012m ground resolution), reconstrucción 3D densa (mesh con ~500,000 puntos), conversión de orientaciones fotogramétricas (omega-phi-kappa) a sistema Google Earth (heading-tilt-roll) mediante transformaciones matriciales. (3) Comparación: integración visual as-built/as-planned mediante elementos KML &lt;PhotoOverlay&gt; para alineación AR de imágenes con orientación absoluta sobre modelos 3D, &lt;GroundOverlay&gt; para mosaicos sobre terreno, &lt;Model&gt; con &lt;TimeSpan&gt; para animación 4D del cronograma, asociando fechas inicio/demolición a cada parte del modelo dividido según actividades constructivas, permitiendo comparación visual directa mediante navegación 3D y slider temporal. (4) Reporte: sistema de gestión KML jerárquico con &lt;Folder&gt;, &lt;NetworkLink&gt;, &lt;Region&gt; para level-of-detail (LOD) de tiles de imagen, &lt;TimeStamp&gt; para filtrado temporal, &lt;ExtendedData&gt; para vincular documentos/cantidades/planos a objetos 3D, visualización en Google Earth con navegación interactiva, vistas AR/VR, animación temporal, recuperación eficiente basada en localización/tiempo, y estimación cuantitativa automatizada de volúmenes (corte/relleno) desde modelos 3D reconstruidos.</t>
  </si>
  <si>
    <t>Evaluar la precisión de posicionamiento absoluto del enfoque sin puntos de control en múltiples obras con ground truth topográfica.",
"tipo": "validación",
"nivel": "sistémico",
"causa": "falta de ground truth",
"seccion_origen": "Conclusion",
"literal_autor": "“the absolute positioning accuracy of the ground control free approach is not evaluated due to the limited availability of required data”",
"prioridad": 1</t>
  </si>
  <si>
    <t>"Cuantificar el impacto del sistema en métricas de obra (tiempos, costos, decisiones) mediante estudios controlados en proyectos reales.",
"tipo": "evaluación",
"nivel": "sistémico",
"causa": "no hay evaluación cuantitativa",
"seccion_origen": "Conclusion",
"literal_autor": "“the research didn’t quantitatively evaluate the effectiveness of the proposed system on an actual ongoing site”",
"prioridad": 1</t>
  </si>
  <si>
    <t>Extender la validación a proyectos de mayor escala y diferentes tipologías para probar escalabilidad y generalización.",
"tipo": "validación",
"nivel": "sistémico",
"causa": "escala y diversidad limitadas",
"seccion_origen": "Conclusion",
"literal_autor": "“the research did not conduct a complete field test… on a larger scale”",
"prioridad": 1</t>
  </si>
  <si>
    <t xml:space="preserve"> BIM and AI Integration for Dynamic Schedule Management: A Practical Framework and Case Study</t>
  </si>
  <si>
    <t>Heap-Yih Chong, Xinyi Yang, Cheng Siew Goh, Yan Luo</t>
  </si>
  <si>
    <t>Buildings</t>
  </si>
  <si>
    <t>SÍ_Temporal</t>
  </si>
  <si>
    <t>RF: 91.2%                     LSTM: 94.6%   Transformer: 96.3%</t>
  </si>
  <si>
    <t xml:space="preserve">F1_SCORE                                                                        RF: 0.89;                                                                                    LSTM: 0.93;                                                                                          Transformer: 0.94                                                                  Recall de riegos:                                                     90%                                                                               Precision de riegos:                                                 82%	                                                                                                            </t>
  </si>
  <si>
    <t>Desviación del progreso: 18,3% (tradicional) vs. 10,6% (BIM+AI), mejora 42%
Tiempo ocioso de recursos: 23 h/sem vs. 16,8 h/sem, mejora 27%
Tiempo de respuesta ante desviaciones: 45 min vs. 15 min, mejora 67%
Error en coordinación de tareas: 12,1% vs. 1,4%, mejora 88%</t>
  </si>
  <si>
    <t>BIM,Machine Learning (Random Forest, LSTM, Transformer), IoT, GIS, Cloud Computing</t>
  </si>
  <si>
    <t>Dashboards, no-code environment</t>
  </si>
  <si>
    <t xml:space="preserve">Validación con caso real, entrevistas; mejoras operativas detalladas; limitantes: habilidades personal, interfaz compleja, demoras en implementación AI                                                                  LSTM Predicción dinámica del avance de obra, 
RANDOM FOREST Predicción a corto plazo de variables clave del proyecto, como suministro de materiales y programación de personal, evaluando la influencia de cada variable para ayudar en la toma de decisiones diarias.
TRANSFORMER  	Optimización y pronóstico de la coordinación de recursos, </t>
  </si>
  <si>
    <t>El framework integra BIM como repositorio centralizado de datos geométricos/semánticos con AI (Machine Learning, Deep Learning, algoritmos de optimización) para análisis predictivo y optimización multiobjetivo, operando sobre plataforma cloud computing con arquitectura de tres capas. La integración tecnológica incluye sensores IoT para captura continua de datos de obra (frecuencia 1 minuto), tecnología GIS para contexto espacial georreferenciado (topografía, clima, tráfico), y algoritmos AI especializados: Random Forest para predicción de cronograma a corto plazo (precisión 91.2%), LSTM para captura de dependencias temporales largas (precisión 94.6%), y Transformer para coordinación de recursos con mecanismos de auto-atención (precisión 96.3%). El nivel de integración es alto: los datos BIM alimentan modelos AI en tiempo real, los algoritmos AI actualizan automáticamente modelos BIM 4D, y el Motor de Diagramas de Red 4 en 1 permite conmutación dinámica entre vistas Gantt/PERT/redes de doble codificación procesando &gt;100,000 entradas sin latencia.</t>
  </si>
  <si>
    <t>La metodología se aplicó en un proyecto de túnel de conducción de agua a gran escala en China, caracterizado por múltiples fases constructivas interdependientes, periodo de construcción prolongado y colaboración multi-stakeholder compleja. Aunque el documento no desglosa fases constructivas específicas por nomenclatura tradicional (cimentación/estructura/acabados), el sistema aborda todas las etapas del ciclo de vida del proyecto: desde planificación inicial (generación automática de diagramas de red mediante AI), ejecución (monitoreo en tiempo real de progreso físico, posicionamiento de personal, consumo de materiales, uso de equipos mediante sensores IoT), y control continuo (ajustes dinámicos de cronograma basados en analítica predictiva). El framework es aplicable a proyectos complejos de infraestructura con características típicas de cronogramas largos, alta variabilidad de recursos y múltiples puntos críticos de coordinación, demostrando adaptabilidad escalable desde proyectos pequeños (&lt;5,000 componentes, tiempo respuesta &lt;3s) hasta proyectos grandes (&gt;50,000 componentes sin colapso del sistema bajo carga máxima).</t>
  </si>
  <si>
    <t>Captura: Dispositivos IoT desplegados en obra transmiten datos cada minuto a servidor cloud centralizado (progreso constructivo, posicionamiento GPS de personal, uso de equipos, consumo de materiales); modelo BIM proporciona información detallada de estructuras/materiales/procedimientos/configuración de recursos; integración BIM+GIS aporta datos geoespaciales contextuales (topografía, clima, tráfico). Procesamiento: Capa de análisis ejecuta algoritmos AI especializados: Random Forest evalúa influencia de cada variable en cronograma (precisión 91.2%), LSTM predice tendencias de progreso a largo plazo capturando dependencias temporales (precisión 94.6%), Transformer optimiza coordinación de recursos mediante mecanismos de auto-atención (precisión 96.3%); modelos entrenados con &gt;20,000 muestras de datos (logs constructivos, registros de materiales, datos meteorológicos, programación de personal) mediante validación cruzada 5-fold en GPUs NVIDIA A100. Comparación: Motor de Diagramas de Red 4 en 1 compara progreso real vs planificado mediante conmutación dinámica entre vistas Gantt/Timeline/Doble-Codificación/PERT procesando &gt;100,000 puntos de datos; visualización BIM 4D mapea progreso constructivo directamente sobre modelo tridimensional; algoritmos AI detectan desviaciones de cronograma con tasa de falsos positivos 3.7-7.5%. Reporte: Dashboards AI-enhanced presentan estado actualizado de cronograma destacando desviaciones; sistema de alertas tempranas genera notificaciones automáticas &lt;3 minutos desde detección de anomalía; Motor Blueprint automatiza flujos de trabajo complejos con lógica trigger-event reduciendo errores de conversión de tareas en 88%; plataforma multi-terminal (desktop/móvil) permite acceso ubicuo a visualizaciones 3D de progreso, alertas y retroalimentación en tiempo real.</t>
  </si>
  <si>
    <t>Validar la generalización del marco BIM+AI en múltiples tipos de proyectos y entornos operativos.",
"tipo": "validación",
"nivel": "sistémico",
"causa": "un solo caso de estudio",
"seccion_origen": "Conclusions",
"literal_autor": "“as the current work is drawn from a single case project, future research should aim to validate the framework’s generalizability across different project types and operational environments”",
"prioridad": 1</t>
  </si>
  <si>
    <t>Comparar contra baselines fuertes del sector (Synchro, MS Project, ALICE) con protocolos experimentales estandarizados.",
"tipo": "evaluación",
"nivel": "sistémico",
"causa": "comparaciones no estandarizadas",
"seccion_origen": "Results",
"literal_autor": "“We compare the system… with Synchro, MS Project, ALICE… in terms of availability, adaptability, and performance”",
"prioridad": 1</t>
  </si>
  <si>
    <t>Reducir la latencia de procesamiento en tiempo real mediante edge computing para mejorar las alertas tempranas.",
"tipo": "método",
"nivel": "técnico",
"causa": "retrasos en procesamiento en tiempo real",
"seccion_origen": "Discussion",
"literal_autor": "“Delays in real-time data processing occasionally caused delayed warnings, suggesting the need to integrate edge computing technologies to reduce latency”",
"prioridad": 1</t>
  </si>
  <si>
    <t>texto_normalizado": "Ampliar y diversificar el dataset más allá de 20,000 muestras para robustecer modelos y mitigar sesgos contextuales.",
"tipo": "datos",
"nivel": "técnico",
"causa": "tamaño y contexto único del dataset",
"seccion_origen": "Case Study",
"literal_autor": "“The training of the AI models utilized a total of over 20,000 data samples… from a single project”",
"prioridad": 1</t>
  </si>
  <si>
    <t>Real-Time Progress Monitoring of Bricklaying</t>
  </si>
  <si>
    <t>Ramez Magdy, Khaled A. Hamdy, y Yasmeen A. S. Essawy</t>
  </si>
  <si>
    <t xml:space="preserve">	mAP50: 95.4%                mAP50–95: 80.7%</t>
  </si>
  <si>
    <t>Recall: ~93% (principal); Recall: 78.1% (generalización europea)</t>
  </si>
  <si>
    <t>BIM, YOLOv8, API Revit, Digital Twin, IMU</t>
  </si>
  <si>
    <t>Roboflow, Google Colab, GPU T4</t>
  </si>
  <si>
    <t>La metodología fue validada principalmente en un caso de estudio correspondiente a un sitio de construcción específico donde se recogió el dataset principal. Además, se realizó una prueba de generalización en un conjunto de datos europeo diferente para evaluar el desempeño en otro contexto, mostrando una menor sensibilidad pero confirmando la capacidad del modelo para adaptarse a distintos entornos.</t>
  </si>
  <si>
    <t>La metodología integra cámaras RGB montadas en UAVs o dispositivos portátiles para captura de imágenes de muros, sensores IMU (acelerómetro, giroscopio, magnetómetro) para posicionamiento indoor sin GNSS, algoritmo YOLOv8 para detección de objetos en tiempo real, y BIM (Autodesk Revit con complemento C# desarrollado mediante Revit API) para cuantificación as-planned y sincronización con Digital Twin. El nivel de integración es alto: los datos visuales y espaciales se fusionan en tiempo real, las detecciones YOLOv8 (con umbral de confianza ≥0.6) alimentan automáticamente el modelo BIM, y el sistema actualiza visualizaciones 4D y cronogramas (Primavera P6) mediante arquitectura de cuatro componentes (Physical Twin, Data Acquisition, Digital Twin, Real-time Progress Monitoring).</t>
  </si>
  <si>
    <t>La metodología se aplica específicamente a actividades de mampostería (bricklaying) en ambientes interiores durante la fase de construcción. El documento enfatiza que la colocación de ladrillos es una actividad fundacional del trabajo interior, actuando como hito inicial (milestone) que precede a tareas subsecuentes como enlucido (plastering), tabiquería seca (drywall) y alicatado (tiling). Se valida en muros de ladrillo de dimensiones típicas (5 m × 3 m), considerando aperturas para puertas y ventanas, bajo condiciones de iluminación controlada características de ambientes indoor.</t>
  </si>
  <si>
    <t>Captura: Cámaras RGB montadas en UAVs o fijas capturan imágenes 640×640 px de muros durante construcción, con IMUs proporcionando coordenadas de orientación para reconstrucción geométrica. Procesamiento: YOLOv8 (arquitectura CNN con backbone-neck-head) entrenado con 1,275 imágenes anotadas (dataset ROI-1555 adaptado, augmentation con rotación ±15°, brightness ±25%, blur, noise) detecta ladrillos con mAP50=95.4%, mAP50-95=80.7%, precisión 95%, recall 93%; entrenamiento 100 épocas, batch=32, LR=0.01, early stopping en época 92. Comparación: Complemento Revit API (C#, Visual Studio) genera cuantificación as-planned mediante inserción programática de instancias de familias de ladrillos (25×12×6 cm) con patrón escalonado, eliminando ladrillos en aperturas; conteo as-built YOLOv8 se mapea a coordenadas BIM (solo detecciones confianza≥0.6); si discrepancia &gt;±5%, el sistema pausa actualizaciones y alerta para revisión manual. Reporte: Cálculo automático de porcentaje de avance unitario (as-built/as-planned), actualización en tiempo real de cronogramas Primavera P6, visualización 4D en Revit mostrando progreso dinámico mediante Digital Twin, con procesamiento de muro 5×3 m en ~32 segundos.</t>
  </si>
  <si>
    <t>"Validar el método en múltiples obras y regiones para medir generalización fuera del sitio principal.",
"tipo": "validación",
"nivel": "sistémico",
"causa": "un solo sitio principal",
"seccion_origen": "inferencia",
"literal_autor": "",
"prioridad": 1</t>
  </si>
  <si>
    <t>"Ampliar y balancear el dataset con más condiciones de iluminación y oclusiones para reducir degradación de desempeño.",
"tipo": "datos",
"nivel": "técnico",
"causa": "sensibilidad a iluminación/oclusiones",
"seccion_origen": "inferencia",
"literal_autor": "",
"prioridad": 1</t>
  </si>
  <si>
    <t>Evaluar y mejorar la generalización en datasets externos estandarizados, comparando contra baselines fuertes.",
"tipo": "evaluación",
"nivel": "sistémico",
"causa": "sin benchmark amplio",
"seccion_origen": "inferencia",
"literal_autor": "",
"prioridad": 1</t>
  </si>
  <si>
    <t>Automated Progress Monitoring Using Unordered Daily Construction Photographs and IFC-Based Building Information Models</t>
  </si>
  <si>
    <t>MANI GOLPARVAR-FARD, A.M.ASCE1; FENIOSKY PEÑA-MORA, M.ASCE ˜ 2 ; and SILVIO SAVARESE</t>
  </si>
  <si>
    <t>Journal of Computing in Civil Engineering</t>
  </si>
  <si>
    <t>87.50 %                                            82.89  %                                                                     91.05 %</t>
  </si>
  <si>
    <t>accuracy: 87.50 (entrenamiento RH-112); accuracy: 82.89 (prueba RH-160); accuracy: 91.05 (prueba SD-288);                                    precision-recall y TP/FP graficados;                                             error de registro BIM↔nube: 0.20–0.73 mm</t>
  </si>
  <si>
    <t> BIM-IFC; Visión computacional(SfM, MVS, SIFT, voxel); ML (SVM, modelo Bayesiano); Fotogrametría; Nube de puntos 4D.</t>
  </si>
  <si>
    <t>ICP; D4AR; Cámaras digitales; EXIF; Segmentación por profundidad; Range images</t>
  </si>
  <si>
    <t>.-La validación se realizó mediante tres experimentos con datos reales de dos proyectos de construcción: Residence Hall (RH) y Student Dining (SD) en Champaign, Illinois. Para el proyecto RH se utilizaron dos conjuntos de imágenes: 112 fotos (20 agosto 2008) y 160 fotos (27 agosto 2008), mientras que para SD se emplearon 288 imágenes (7 julio 2008) y 118 imágenes (24 julio 2008).​
El método de validación incluyó entrenamiento del clasificador SVM con el dataset RH 112, verificación cruzada por dos ingenieros de campo y un superintendente, y pruebas posteriores con datasets RH 160 y SD 288                                                                                                      .-Curvas precision–recall y TP–FP presentadas sin cifras, solo interpretación cualitativa</t>
  </si>
  <si>
    <t>La metodología integra fotografías digitales convencionales (incluyendo de teléfonos móviles de 2 Mpixels) con BIM basado en Industry Foundation Classes (IFC) vinculado a cronogramas de construcción (4D BIM). Para procesamiento as-built, emplea visión computacional mediante algoritmos de structure-from-motion (SfM), multiview stereo (MVS), voxel coloring y labeling, y extracción de puntos característicos SIFT (Scale Invariant Feature Transform). El registro as-built/as-planned utiliza el método de Horn para transformación Euclidiana con escala y algoritmos ICP (Iterative Closest Point). La detección automatizada de avance emplea machine learning mediante un modelo probabilístico Bayesiano con clasificador SVM (Support Vector Machine) lineal que aprende dinámicamente umbrales de detección según tipo de elemento, material, visibilidad y oclusión. El nivel de integración es alto y automatizado: desde captura fotográfica hasta visualización 4D interactiva, el sistema automatiza calibración de cámaras, reconstrucción 3D/4D, registro as-built/as-planned, etiquetado de ocupación/visibilidad, detección probabilística de avance, y reporte con codificación de colores sobre BIM-IFC.</t>
  </si>
  <si>
    <t>La metodología se valida en proyectos de edificación de hormigón, específicamente en fases de obra gruesa de fundaciones y estructura (basement construction). Los casos de estudio incluyen construcción de residencia estudiantil (RH project) y comedor estudiantil (SD project), donde se monitorea avance de actividades como FPRS (Form/Rebar/Pour/Strip) de columnas de hormigón de subterráneo y muros de fundación. El sistema se aplica durante construcción activa con fotografías tomadas desde exterior e interior del subterráneo, procesando colecciones de 112 a 288 imágenes por fecha de captura. El enfoque es aplicable a actividades de cronograma vinculadas a elementos BIM-IFC independientemente del nivel de detalle del WBS, aunque no detecta automáticamente detalles operacionales dentro de actividades (por ejemplo, etapa de encofrado versus hormigonado).</t>
  </si>
  <si>
    <t>Captura: Fotografías diarias de construcción no ordenadas, no calibradas, con condiciones de iluminación variables y amplia distribución espacial, capturadas por cámaras convencionales o teléfonos móviles sin costo adicional ni intervención manual.​
Procesamiento: (1) Extracción automática de puntos SIFT; (2) Emparejamiento de características entre imágenes; (3) SfM para calibrar cámaras y reconstruir nube de puntos 3D sparse; (4) MVS para densificar reconstrucción; (5) Voxel coloring/labeling con constraint de visibilidad ordinal (front-to-back traversing) que etiqueta voxels as-built como Ocupado/Vacío/Bloqueado mediante consistencia visual de radiancias; (6) Registro automático ICP entre nubes de puntos de diferentes fechas para modelo 4D as-built.​
Comparación: (1) Registro semiautomático as-built/as-planned mediante método de Horn con puntos de control y registro automático ICP posterior; (2) Traversing y etiquetado de voxels as-planned como Ocupado/Visible considerando oclusiones estáticas (autooclusión por avance) y dinámicas (maquinaria/personal); (3) Generación de range images y marking boards para segmentación 2D de elementos visibles por imagen; (4) Modelo probabilístico Bayesiano que calcula P(ηi|θiT) comparando ocupación as-built versus esperada as-planned en volumen observable; (5) Clasificador SVM lineal que aprende dinámicamente umbral de detección Γi según visibilidad, tipo de elemento, material, resolución de voxel y consistencia​.
Reporte: (1) Detección binaria de avance por elemento BIM-IFC (avance/sin avance); (2) Cálculo de porcentaje de avance Q por actividad de cronograma ponderando elementos detectados por volumen observable; (3) Visualización 4D interactiva D4AR con navegación espacial/temporal en nubes de puntos registradas con imágenes texturizadas; (4) Codificación de colores automática sobre BIM-IFC (rojo=retraso, verde=cumplimiento, gris=no reportado); (5) Generación de range images por cámara con segmentación de elementos IFC observados; (6) Reporte de métrica de confianza de visibilidad por actividad para identificar elementos que requieren revisión manual.​</t>
  </si>
  <si>
    <t>"Ampliar validación con más casos y condiciones de iluminación/oclusión para estimar precisión y generalización del SVM en distintos tipos de elementos.",
"tipo": "validación",
"nivel": "sistémico",
"causa": "pocos casos de estudio",
"seccion_origen": "Discussion on Automated Detection Accuracy",
"literal_autor": "“as more experiments are conducted, the outcomes can be added to increase the accuracy of the SVM”",
"prioridad": 1</t>
  </si>
  <si>
    <t>Reducir falsos positivos por confusión entre encofrado y elemento terminado mediante señales de textura/material y reglas temporales.",
"tipo": "evaluación",
"nivel": "técnico",
"causa": "confusión encofrado-hormigón",
"seccion_origen": "Discussion on Automated Detection Accuracy",
"literal_autor": "“formwork is falsely detected as a finished concrete element.”",
"prioridad": 1</t>
  </si>
  <si>
    <t>Ampliar validación con más casos y condiciones de iluminación/oclusión para estimar precisión y generalización del SVM en distintos tipos de elementos.",
"tipo": "validación",
"nivel": "sistémico",
"causa": "pocos casos de estudio",
"seccion_origen": "Discussion on Automated Detection Accuracy",
"literal_autor": "“as more experiments are conducted, the outcomes can be added to increase the accuracy of the SVM”",
"prioridad": 1</t>
  </si>
  <si>
    <t>Aumentar cobertura de MEP y componentes reflectivos/volúmenes mínimos mediante técnicas robustas a reflectividad para mejorar reconstrucción y detección.",
"tipo": "datos",
"nivel": "dominio",
"causa": "superficies reflectivas y pequeñas",
"seccion_origen": "Conclusions and Summary",
"literal_autor": "“modeling the mechanical/electrical/plumbing components... given the reflectivity... and the minimal volume they occupy.”",
"prioridad": 2</t>
  </si>
  <si>
    <t>On-demand monitoring of construction projects through a game-like hybrid</t>
  </si>
  <si>
    <t>Farzad Pour Rahimian a b, Saleh Seyedzadeh c d, Stephen Oliver c d, Sergio Rodriguez a, Nashwan Dawood a</t>
  </si>
  <si>
    <t>BIM, Vision computacional (CNN), Machine Learning, Fotogrametría, VR</t>
  </si>
  <si>
    <t>RGB-D, Unity, HTC Vive, IFC/NWD→FBX (Twinmotion), virtual photogrammetry, inpainting exemplar-based</t>
  </si>
  <si>
    <t>un marco de trabajo y un prototipo de prueba de concepto para la simulación automatizada bajo demanda de proyectos de construcción                               Caso de estudio: Se implementó el prototipo de la aplicación para demostrar la viabilidad y el potencial del marco conceptual propuesto en University of Strathclyde Sports Centre; enlace IFC–Unity y superposición as-built vs as-planned en VR, no reporta metricas cuantitativas de validación, validacion solo cualitativa</t>
  </si>
  <si>
    <t>La metodología integra machine learning (CNN específicamente FuseNet para segmentación semántica de imágenes RGB-D, redes pre-entrenadas para reconocimiento de objetos no deseados), procesamiento de imágenes (eliminación de objetos indeseados mediante inpainting exemplar-based, detección de características con TF-IDF), BIM (modelos IFC exportados desde Revit vía TwinMotion a formato FBX), fotogrametría virtual (generación automática de datasets sintéticos mediante raycasting en Unity para entrenamiento de redes neuronales), y realidad virtual (motor Unity con HTC Vive para visualización inmersiva, scripts C# para vinculación IFC-Unity mediante expresiones regulares y localización espacial). El nivel de integración es avanzado, logrando interoperabilidad completa mediante arquitectura de cuatro capas (captura de imagen, procesamiento ML, autoría BIM, autoría VR con enlace de objetos) que genera un entorno virtual game-like donde imágenes segmentadas se superponen sobre el modelo as-planned para identificación visual de inconsistencias</t>
  </si>
  <si>
    <t>La metodología se aplica durante la fase de construcción del complejo deportivo y recreativo de la Universidad de Strathclyde en Glasgow, enfocándose en monitoreo de elementos estructurales y arquitectónicos principales: columnas, vigas, muros, losas y componentes MEP cilíndricos. El sistema permite seguimiento diario del progreso mediante captura fotográfica on-demand con cámaras de profundidad (RGB-D), sin interrumpir operaciones en sitio, abarcando procesos de estructuras de hormigón armado, instalación de componentes prefabricados y elementos arquitectónicos interiores y exteriores. El enfoque no está limitado a fases específicas sino que proporciona monitoreo continuo remoto durante toda la ejecución constructiva</t>
  </si>
  <si>
    <t>Captura: Fotografías RGB-D (color + profundidad) tomadas diariamente desde sitio con cámaras depth habilitadas, potencialmente mediante UAVs autónomos con vuelos pre-programados para reducir riesgos y capturar áreas inaccesibles. Procesamiento: Dos redes CNN paralelas: (1) reconocimiento y remoción de objetos no deseados (personas, maquinaria, materiales temporales) usando método exemplar-based inpainting para rellenar gaps en RGB y depth-map; (2) segmentación semántica con FuseNet que fusiona encoders RGB y depth para etiquetar píxeles por categoría de elemento constructivo (columnas, vigas, muros), entrenada con datasets sintéticos generados mediante fotogrametría virtual desde el modelo BIM en Unity (generación automática de miles de imágenes con etiquetado por raycasting hacia meshes IFC). Comparación: Superposición de imágenes segmentadas sobre modelo as-planned BIM en VR mediante vinculación IFC-Unity con expresiones regulares, localización espacial de elementos por bounding box center points, operaciones AND pixel-por-pixel entre segmentos reales y renderizados virtuales desde misma posición/orientación/FOV de cámara para detectar misalignments geométricos, buffering de áreas de falla AND con colores distintivos (highlighting) de elementos con potenciales desviaciones. Reporte: Visualización inmersiva en VR (Unity + HTC Vive) con entorno game-like interactivo que muestra ambos modelos as-built y as-planned simultáneamente, elementos inconsistentes resaltados con cambio de propiedad Color del material primario para inspección on-demand, identificación visual directa de discrepancias espaciales que requieren re-medición con herramientas láser (Leica Disto), soporte para monitoreo remoto sin presencia física en obra, facilitando comunicación efectiva entre gestores de proyecto y stakeholders</t>
  </si>
  <si>
    <t>Verificar y entrenar clasificadores para múltiples tipos de elementos interiores y ambientes variados más allá de ductos.",
"tipo": "validación",
"nivel": "sistémico",
"causa": "un tipo de objeto principal",
"seccion_origen": "Conclusion and discussion",
"literal_autor": "“the classifiers… should be verified for the major types of interior construction elements found in various environments”",
"prioridad": 1</t>
  </si>
  <si>
    <t>Cuantificar desempeño con métricas agregadas (precision, recall, F1) sobre el dataset en lugar de solo ejemplos cualitativos.",
"tipo": "evaluación",
"nivel": "técnico",
"causa": "métricas limitadas",
"seccion_origen": "inferencia",
"literal_autor": "",
"prioridad": 1</t>
  </si>
  <si>
    <t>Escalar el método a múltiples obras y condiciones para evaluar generalización más allá del caso UIUC.",
"tipo": "validación",
"nivel": "sistémico",
"causa": "un solo caso de estudio",
"seccion_origen": "inferencia",
"literal_autor": "",
"prioridad": 1</t>
  </si>
  <si>
    <t>"Evaluar robustez frente a oclusiones y similitudes visuales típicas de interiores con protocolos de prueba específicos.",
"tipo": "evaluación",
"nivel": "técnico",
"causa": "oclusiones y similitud visual",
"seccion_origen": "Automated visual assessment",
"literal_autor": "“many complexities… cause some false negatives… or false positives… similar features of interior construction objects.”",
"prioridad": 2
}</t>
  </si>
  <si>
    <t>Interior construction state recognition with 4D BIM registered image-based point clouds</t>
  </si>
  <si>
    <t>Christopher Kroppa , Christian Kochb, Markus König</t>
  </si>
  <si>
    <t xml:space="preserve">Deteccion de:                                radiadores 96 %                          tabiques: 95 %                              </t>
  </si>
  <si>
    <t xml:space="preserve">.-registro imagen–modelo: Detección de líneas a una tasa de 0.9259; 2.02 ms/línea; comparativa con LSD/EDLines                                                                                                               .-radiadores recall 99%                                                                                         .-tabiques recall: 95 %                              </t>
  </si>
  <si>
    <t>BIM, Vision computacional (RANSAC, PnX, VO/SfM), Machine Learning (Descriptores HOG, Clasificador SVM), Fotogrametría</t>
  </si>
  <si>
    <t>BIM define qué y dónde observar; CV estima la pose y rectifica las regiones de interés de la imagen proyectadas desde el 4D BIM(ROIs); ML clasifica estado/objeto en esas ROIs; la decisión final se consolida por votación en toda la secuencia, cerrando el ciclo con potencial reprogramación en 4D BIM.​
tasa de decteccion: porcentaje de líneas del modelo BIM proyectadas que fueron encontradas como inliers en la imagen</t>
  </si>
  <si>
    <t>La metodología integra modelos BIM 4D, visión computacional, procesamiento de imágenes y aprendizaje automático con un alto nivel de coordinación entre procesos. Se utilizan cámaras monoculares portátiles (tablet PC o smartphone) para capturar secuencias de video durante inspecciones interiores, eliminando la dependencia de infraestructura fija. Los modelos BIM 4D proporcionan información geométrica, semántica y cronológica de elementos y actividades, vinculando el cronograma de construcción con los componentes del edificio. La integración se logra mediante algoritmos de registro imagen-a-modelo que estiman automáticamente la pose de cada fotograma respecto al sistema de coordenadas del modelo BIM, utilizando correspondencias entre primitivas geométricas (segmentos de línea) extraídas del modelo y detectadas en las imágenes mediante algoritmos modificados RANSAC, Visual Odometry (VO) y Structure from Motion (SFM). El procesamiento incluye extracción de segmentos de línea, estimación fina y aproximada de pose, rectificación de regiones de interés, y clasificación del estado de actividades mediante Support Vector Machines (SVM) y descriptores de características visuales como Histogram of Oriented Gradients.</t>
  </si>
  <si>
    <t>La metodología se aplica específicamente a obras de acabados interiores (interior finishing works), que representan entre 25% y 40% del presupuesto típico de proyectos de construcción. Los casos de estudio se implementaron en la renovación del edificio IC en el campus de la Ruhr-Universität Bochum (Alemania), monitoreando actividades como instalación de paneles de yeso (drywall), enyesado (plastering), pintura de muros, e instalación de radiadores de calefacción. El enfoque reconoce tres estados de avance para instalación de drywall (paneles instalados, enyesado, pintado) y dos estados para montaje de radiadores (no instalado, instalado). La metodología está diseñada para escenarios interiores donde la visibilidad general es limitada por muros y donde existe alta repetición de elementos constructivos similares, condiciones que dificultan el uso de tecnologías basadas en radio-frecuencia, láser estático o GPS.</t>
  </si>
  <si>
    <t>Captura: Secuencias de video adquiridas con sistemas de cámara monocular portátil (tablets o smartphones) durante inspecciones interiores, recorriendo los espacios interiores del edificio en construcción sin infraestructura fija. Procesamiento: Registro automático de cada fotograma al modelo BIM mediante dos modalidades: registro inicial manual por superposición AR del modelo BIM wireframe sobre la primera imagen, seguido de estimación fina de pose mediante correspondencias línea-a-línea (extracción de segmentos de línea del modelo BIM y la imagen usando algoritmos de detección dirigida con filtros perpendiculares), y estimación aproximada de pose mediante Visual Odometry o Structure from Motion cuando la geometría del modelo no es suficientemente visible. Comparación: Comparación as-planned/as-built mediante reducción del espacio de búsqueda consultando el cronograma 4D para identificar actividades relevantes y proyectar objetos BIM asociados sobre el espacio de imagen según la pose registrada, seguido de rectificación de regiones de interés (ROI) para transformar las imágenes a vistas unificadas aproximadas sobre planos 3D. Reporte: Reconocimiento automático del estado de actividades mediante dos enfoques según el tipo de actividad: reconocimiento de objetos estructurales (presencia física de elementos como radiadores) usando clasificadores SVM con características HOG y normalización de aspecto e iluminación (precisión 0.96, recall 0.99), y reconocimiento de materiales (estados de acabado como enyesado/pintado) usando extracción de características compass edge para detectar uniones y tornillos en paneles, segmentación para excluir oclusiones, normalización adaptativa de contraste, e histogramas de intensidad de píxeles como vectores de características (precisión y recall ≥0.95). Los resultados se visualizan en videos compuestos que muestran el registro BIM, movimiento de cámara en vista de pájaro, y estado reconocido de actividades con votación por mayoría absoluta.</t>
  </si>
  <si>
    <t>Validar la generalización del marco en múltiples obras y configuraciones interiores más allá de tres videos de caso.",
"tipo": "validación",
"nivel": "sistémico",
"causa": "un solo sitio y pocas secuencias",
"seccion_origen": "Discussion",
"literal_autor": "“All experiments show promising results… However… several issues… were encountered.”",
"prioridad": 1</t>
  </si>
  <si>
    <t>"Cuantificar y mitigar la propagación de errores entre etapas (registro, VO/SfM, rectificación, clasificación).",
"tipo": "evaluación",
"nivel": "técnico",
"causa": "no analizada en detalle",
"seccion_origen": "Conclusions",
"literal_autor": "“potential errors… are propagated… So far, this has not been analyzed and tested in detail yet”",
"prioridad": 1
},</t>
  </si>
  <si>
    <t>Reducir deriva de VO/SfM o integrar mecanismos de reanclaje más frecuentes para mantener escala y pose.",
"tipo": "método",
"nivel": "técnico",
"causa": "deriva en odometría visual",
"seccion_origen": "Discussion",
"literal_autor": "“VO induce an unpredictable degree of drift… recommendable to return to fine pose estimation as early as possible”",
"prioridad": 1</t>
  </si>
  <si>
    <t>Mejorar la robustez del registro ante movimientos rotacionales dominantes y paredes de baja textura en interiores.",
"tipo": "método",
"nivel": "técnico",
"causa": "sensibilidad a rotación y baja textura",
"seccion_origen": "Discussion",
"literal_autor": "“very rough motion… especially rotation-dominant… low-textured walls”",
"prioridad": 1</t>
  </si>
  <si>
    <t>Improving progress monitoring by fusing point clouds, semantic data and computer vision</t>
  </si>
  <si>
    <t>Alex Brauna, Sebastian Tuttasb, André Borrmanna, Uwe Stilla</t>
  </si>
  <si>
    <t>Red de visión (Mask R‑CNN):                                mAP50 = 90.7%</t>
  </si>
  <si>
    <t xml:space="preserve">Red de visión (Mask R‑CNN):                                   F1_SCORE= 0.920                                               Precision = 0.914                                                   Recall = 0.927                                                                             </t>
  </si>
  <si>
    <t>BIM; Fotogrametría SfM/MVS; Nube de puntos; Visión computacional; Deep learning (Mask R‑CNN);</t>
  </si>
  <si>
    <t>Análisis de color HSV; Gráfico de precedencias (PRG); Análisis de visibilidad cámara‑modelo</t>
  </si>
  <si>
    <t>Caso de estudio: tres obras reales en Alemania                                                                                                                                 Línea base: comparación geométrica punto‑superficie con umbrales de distancia y densidad de puntos para marcar elementos “detectados” o “no detectados”.​
Mejoras secuenciales: (i) grafo de precedencias (PRG) para inferir elementos invisibles pero requeridos, (ii) ajuste de umbrales para “bajo construcción” considerando espesores de encofrado, (iii) análisis de color HSV para diferenciar encofrado y hormigón, (iv) análisis de visibilidad por proyección cámara‑modelo, (v) detección con CNN en regiones proyectadas para identificar encofrado y columnas y etiquetar estado “en construcción”</t>
  </si>
  <si>
    <t>La metodología utiliza una integración profunda de múltiples tecnologías: BIM 4D (modelos IFC con información geométrica, semántica y cronogramas), fotogrametría aérea mediante UAVs, Structure from Motion (SfM) para generación de nubes de puntos 3D, escaneo láser para referencia, deep learning con Convolutional Neural Networks (CNN) específicamente Mask R-CNN, análisis de color en espacio HSV, algoritmos ICP (Iterative Closest Point) para registro, teoría de grafos para relaciones de precedencia tecnológica, y proyección inversa de geometría 3D a planos 2D de imágenes. El nivel de integración es alto: los datos BIM informan los umbrales de detección según método constructivo; las posiciones de cámara estimadas por SfM permiten proyectar geometría BIM sobre imágenes originales para entrenamiento automático de la red neuronal; las relaciones de precedencia derivadas del modelo BIM infieren existencia de elementos ocluidos; y la red CNN entrenada verifica elementos no detectables por nube de puntos.</t>
  </si>
  <si>
    <t>La metodología se aplica principalmente a construcción de estructuras de hormigón in-situ durante la fase de ejecución de obra gruesa. Se enfoca en elementos estructurales portantes como columnas, muros, losas y vigas durante su proceso constructivo completo: desde colocación de armadura, instalación de encofrados, vaciado de hormigón, hasta desencofrado. El enfoque aborda específicamente desafíos de elementos "bajo construcción" parcialmente completados, detectando encofrados de madera/metal para muros y losas, andamios temporales, y elementos prefabricados en menor medida. La metodología fue validada en tres obras de edificación estructural y una infraestructura (puente, planta de tratamiento) durante períodos de 5-10 meses con múltiples observaciones (6-23 capturas), cubriendo el ciclo completo desde inicio hasta finalización de estructura.</t>
  </si>
  <si>
    <t>Captura: adquisición de imágenes mediante UAVs desde múltiples posiciones exteriores al edificio, con estimación automática de pose de cámara vía SfM; opcionalmente escaneo láser terrestre para referencia. Procesamiento: generación de nubes de puntos 3D coloreadas mediante SfM/MVS, análisis de visibilidad proyectando geometría BIM a imágenes para determinar elementos visibles (E_V), clasificación automática de regiones de interés mediante CNN Mask R-CNN entrenada en 5000 imágenes etiquetadas (9700 encofrados, 5000 columnas), análisis de distribución de color HSV para diferenciar hormigón gris de encofrados rojos/naranjas, y generación de grafo de relaciones de precedencia (PRG) mediante lenguaje de consulta espacial QL4BIM sobre modelos BIM. Comparación: registro/alineación de nube de puntos con modelo BIM 4D vía puntos geodésicos o ICP, comparación geométrica punto-superficie con umbrales adaptativos (1-10cm según estado constructivo esperado), inferencia de elementos invisibles mediante análisis de dependencias tecnológicas en el PRG. Reporte: visualización 3D en software desarrollado clasificando elementos por estados (detectado/confirmado verde, no detectado amarillo, bajo construcción, encofrado presente), con cuantificación de precisión, recall y F1-score, logrando tasas de detección de 80-90% vs 37-66% de métodos puramente geométricos.</t>
  </si>
  <si>
    <t>Generalizar el modelo con datasets más amplios y diversos que incluyan métodos constructivos no europeos y materiales distintos a hormigón in situ.",
"tipo": "datos",
"nivel": "dominio",
"causa": "sesgo de dataset",
"seccion_origen": "Limitations",
"literal_autor": "“This data currently only includes construction sites in Germany… mainly used in-situ concreting… which might make the network biased.”",
"prioridad": 1</t>
  </si>
  <si>
    <t>Validar el enfoque en interiores y elementos no visibles desde UAV para evaluar desempeño en escenarios indoor.",
"tipo": "validación",
"nivel": "sistémico",
"causa": "falta de observaciones indoor",
"seccion_origen": "Problem statement / Outlook",
"literal_autor": "“Monitoring inside of a building is… not available via an automated method… Several research groups have proposed different acquisition methods to detect indoor elements.”",
"prioridad": 1</t>
  </si>
  <si>
    <t>Reducir dependencia de poses de cámara de SfM para habilitar uso con escáner láser u otras fuentes sin parámetros intrínsecos/extrínsecos.",
"tipo": "integración",
"nivel": "técnico",
"causa": "dependencia de hardware/proceso",
"seccion_origen": "Limitations",
"literal_autor": "“Image data can only be used thanks to the photogrammetric process and the underlying camera pose estimation. Laser scanners… are therefore not suitable.”",
"prioridad": 2</t>
  </si>
  <si>
    <t>Automatizar y robustecer el registro BIM–nube de puntos para eliminar pasos manuales y reducir errores de alineación.",
"tipo": "método",
"nivel": "técnico",
"causa": "alineación manual parcial",
"seccion_origen": "Limitations",
"literal_autor": "“A minor manual step is required in order to find the exact orientation and scaling.”",
"prioridad": 2</t>
  </si>
  <si>
    <t>Vision-Based Framework for Automatic Progress Monitoring of Precast Walls by Using Surveillance Videos during the Construction Phase</t>
  </si>
  <si>
    <t>Zhichen Wang1 ; Qilin Zhang2 ; Bin Yang3 ; Tiankai Wu4 ; Ke Lei5 ; Binghan Zhang6 ; and Tenwei Fang7</t>
  </si>
  <si>
    <t>Red de visión (Mask R‑CNN):                                mAP50 = 93%                                                   mAP75 = 85%                                   AUC50 = 92%                          AUC75 = 89%                                                 precisión: 88.1–93.9%</t>
  </si>
  <si>
    <t>.-Red de visión (Mask R‑CNN):                                                                              recall: 79.1–83.5%                                                                   .-10/12 muros el sistema logró detectar, seguir, determinar su estado “instalado”               .-desfase 67–193 s entre la colocacion en obra y el registro en el sistema</t>
  </si>
  <si>
    <t>Deep learning (Mask R-CNN; DeepSORT); Seguimiento multiobjeto; Segmentación de instancias; Localización por red de ejes; BIM (Revit)</t>
  </si>
  <si>
    <t>Plugin Revit C#; JSON; GPU RTX 2080; Cámaras vigilancia; TensorFlow/Keras</t>
  </si>
  <si>
    <t>evaluación por módulos (detección/segmentación, seguimiento/estatus y localización) con datasets de obra; demostración en proyecto real en Shanghái, con videos de vigilancia y estampado en BIM de muros instalados.</t>
  </si>
  <si>
    <t>La metodología integra Mask R-CNN (para detección de objetos y segmentación de instancias), DeepSORT (para seguimiento multi-objeto), y un algoritmo de localización basado en redes de ejes proyectadas sobre el sitio de construcción. Estas tecnologías de visión computacional procesan videos de cámaras de vigilancia fijas instaladas en grúas torre, extrayendo información espacial y temporal de muros prefabricados durante su instalación. La integración es completa: los resultados se almacenan en formato JSON y un plug-in de Revit actualiza automáticamente el modelo BIM con timestamps de instalación, vinculando el espacio físico con el ciberespaciomodelado.</t>
  </si>
  <si>
    <t>La metodología se aplica específicamente a la fase de instalación de muros prefabricados (precast walls) en construcción prefabricada, uno de los componentes estructurales críticos en edificios residenciales prefabricados. El framework detecta y monitorea el proceso completo desde el izaje hasta la instalación final de cada muro en pisos individuales durante la construcción. La demostración se realizó en un proyecto residencial con más del 40% de tasa de prefabricación, cubriendo la instalación de 12 muros durante dos días en un espacio de trabajo parcial de un piso.</t>
  </si>
  <si>
    <t xml:space="preserve">Captura: Videos de cámaras de vigilancia fijas instaladas en grúas torre registran continuamente el proceso constructivo, capturando muros en movimiento (siendo izados) y estacionarios (instalados). Procesamiento: Mask R-CNN detecta y segmenta muros en cada frame; DeepSORT rastrea sus posiciones pixel a pixel; un algoritmo de desplazamiento calcula cambios de posición entre frames para determinar el estado (en movimiento vs. instalado); un algoritmo de localización basado en redes de ejes proyectadas determina ubicación del muro mediante tres ejes (uno paralelo y dos perpendiculares). Comparación: El cambio de estado de "en movimiento" a "estacionario" identifica el momento de instalación; la ubicación se compara con la red de ejes para localizar el muro en el modelo BIM. Reporte: La información de timestamp y ubicación se almacena en JSON; un plug-in de Revit lee estos datos, localiza el componente correspondiente en el modelo BIM mediante coincidencia de ejes, y lo timestampea automáticamente, actualizando el avance en tiempo real.​
</t>
  </si>
  <si>
    <t>Validar el marco en múltiples obras y cámaras para evaluar robustez ante variaciones de iluminación, oclusión y disposición de ejes.",
"tipo": "validación",
"nivel": "sistémico",
"causa": "un solo caso de estudio",
"seccion_origen": "Conclusion",
"literal_autor": "“demonstration on a real project proves the feasibility”",
"prioridad": 1</t>
  </si>
  <si>
    <t>Mitigar el impacto de sacudidas de cámara con detección automática de shake y pausa del procesamiento.",
"tipo": "método",
"nivel": "técnico",
"causa": "entorno no controlado",
"seccion_origen": "Research Limitations and Possible Solutions",
"literal_autor": "“violent camera shake… detector… stops detecting walls in those frames”",
"prioridad": 1</t>
  </si>
  <si>
    <t>Estandarizar y liberar dataset y código para reproducibilidad y comparación con baselines fuertes.",
"tipo": "reproducibilidad",
"nivel": "sistémico",
"causa": "acceso bajo solicitud",
"seccion_origen": "Data Availability Statement",
"literal_autor": "“available… upon reasonable request… training data set and model… code”",
"prioridad": 1</t>
  </si>
  <si>
    <t>Evaluar la localización basada en red de ejes frente a métodos calibrados 2D/3D para cuantificar trade-offs de precisión y robustez.",
"tipo": "evaluación",
"nivel": "técnico",
"causa": "sin comparación baseline",
"seccion_origen": "Discussion",
"literal_autor": "“different from conventional localization methods… avoiding complicated processes”",
"prioridad": 1</t>
  </si>
  <si>
    <t>An object-based 3D walk-through model for interior construction progress monitoring</t>
  </si>
  <si>
    <t>Seungjun Roh, Zeeshan Aziz, Feniosky Peña-Mora</t>
  </si>
  <si>
    <t>BIM/IFC; Visión computacional (Haar-like, Cascade, OpenCV); Visualización 3D Walk-through (OpenGL); Fotografía terrestre</t>
  </si>
  <si>
    <t>4D/Color-Pattern coding; Ray casting para alineación; Base de datos de fotos as-built; UI de recorrido 3D</t>
  </si>
  <si>
    <t> el trabajo es pionero y exploratorio; enfatiza factibilidad y marco de integración más que evaluación cuantitativa exhaustiva.</t>
  </si>
  <si>
    <t>La metodología integra Building Information Modeling (BIM) con técnicas de visión computacional (OpenCV para detección de objetos) y visualización 3D mediante OpenGL para crear modelos walk-through interactivos. Utiliza un detector de objetos basado en clasificadores en cascada con características Haar-like entrenados con Gentle AdaBoost para reconocer componentes de construcción interior (como ductos de ventilación) directamente desde fotografías. La integración es completa: el formato IFC 2×3 permite intercambiar datos entre elementos as-built detectados y elementos as-planned del modelo BIM, vinculando automáticamente los componentes físicos detectados con información de cronograma para generar reportes de avance con codificación visual (colores y patrones).</t>
  </si>
  <si>
    <t>La metodología se aplica específicamente a trabajos de construcción interior, incluyendo instalación de sistemas MEP (eléctricos, HVAC, plomería, protección contra incendios) en espacios ocultos detrás de muros o sobre cielos rasos, e instalación de tabiques de yeso (drywall). Se enfoca en fases donde múltiples subcontratistas ejecutan actividades complejas con cronogramas detallados, requiriendo monitoreo diario o semanal del avance de componentes individuales. El sistema fue validado con 661 fotografías del proyecto Student Dining and Residential Hall en University of Illinois, detectando ductos de ventilación instalados en espacios de cielo durante la construcción interior.</t>
  </si>
  <si>
    <t>Captura: Subcontratistas y gerentes de proyecto toman fotografías digitales as-built durante trabajos interiores críticos usando cámaras portátiles, almacenándolas en una base de datos del proyecto con información contextual (ubicación, puntos de vista, perspectivas). Procesamiento: Los componentes de construcción se extraen del modelo BIM en formato IFC; clasificadores en cascada (20 etapas) entrenados con ejemplos positivos (objetos de interés) y negativos (fondo) detectan objetos en fotografías mediante características Haar-like; el detector identifica objetos por forma, posición y escala, marcándolos con cuadros delimitadores. Comparación: Los elementos as-built detectados se comparan con componentes as-planned seleccionados del BIM según el contexto fotográfico; la desviación del cronograma se calcula comparando porcentajes de elementos completados contra fechas planificadas. Reporte: Los resultados se visualizan en un modelo 3D walk-through interactivo donde los componentes se codifican con colores (verde=adelantado, rojo=atrasado) y patrones para representar intuitivamente el estado del avance; el sistema genera reportes automáticos actualizando el BIM con información de avance y varianzas de tiempo.</t>
  </si>
  <si>
    <t>Cuantificar desempeño con métricas agregadas (precision, recall, F1) en el conjunto de 661 fotos en lugar de solo ejemplos cualitativos.",
"tipo": "evaluación",
"nivel": "técnico",
"causa": "métricas limitadas",
"seccion_origen": "inferencia",
"literal_autor": "",
"prioridad": 1</t>
  </si>
  <si>
    <t>Verificar y entrenar clasificadores para múltiples tipos de elementos interiores y ambientes diversos más allá de ductos.",
"tipo": "validación",
"nivel": "sistémico",
"causa": "un tipo de objeto principal",
"seccion_origen": "Conclusion and discussion",
"literal_autor": "“the classifiers… should be verified for the major types of interior construction elements found in various environments”",
"prioridad": 1
},</t>
  </si>
  <si>
    <t>Validar el enfoque en múltiples obras y condiciones para evaluar generalización más allá del caso UIUC.",
"tipo": "validación",
"nivel": "sistémico",
"causa": "un solo caso de estudio",
"seccion_origen": "inferencia",
"literal_autor": "",
"prioridad": 1</t>
  </si>
  <si>
    <t>Mejorar el algoritmo de detección combinando métodos adicionales y rasgos fotométricos (textura y color) para elevar la precisión.",
"tipo": "método",
"nivel": "técnico",
"causa": "algoritmo base limitado",
"seccion_origen": "Conclusion and discussion",
"literal_autor": "“the detection algorithms should be improved by combining other methods… the accuracy of the object detection can be enhanced by photometric characteristics of the material”",
"prioridad": 2</t>
  </si>
  <si>
    <t>Automated recognition of 3D CAD model objects in laser scans and calculation of as-built dimensions for dimensional compliance control in construction</t>
  </si>
  <si>
    <t>Frédéric Bosché</t>
  </si>
  <si>
    <t>Advanced Engineering Informatics</t>
  </si>
  <si>
    <t>SÍ_Geométrico</t>
  </si>
  <si>
    <t>recall: 83.0                                                                                  MSE = 29.3 mm2</t>
  </si>
  <si>
    <t>Escaneo láser, CAD 3D, Visión computacional (ICP, nube de puntos)</t>
  </si>
  <si>
    <t>BVH/culling, Malla triangulada, Proyección punto–superficie</t>
  </si>
  <si>
    <t>Validacion: cinco escaneos láser de una estructura de acero del proyecto Portland Energy Center (Toronto), con un modelo CAD de 612 objetos y 19.478 facetas.                                                                                        MSE de registro: media del cuadrado de las distancias euclidianas entre pares de puntos emparejados modelo–escaneo tras ICP; es la función objetivo minimizada en el registro fino y mide la calidad geométrica de la alineación (menor es mejor)</t>
  </si>
  <si>
    <t>La metodología utiliza escaneo láser terrestre 3D como tecnología principal de captura (específicamente escáneres con precisión de ±12 mm a 100 m y resoluciones de ~60 µrad), integrado con modelos CAD 3D del proyecto en formato triangulado (STL con 19,478 facetas para 612 objetos). El nivel de integración es alto: implementa un algoritmo ICP modificado que registra automáticamente las nubes de puntos con los modelos CAD mediante tres etapas secuenciales (registro grueso manual n-point, registro fino del modelo completo, y registro fino por objeto individual). Utiliza técnicas de aceleración computacional como culling de facetas (frustum culling, back-facing culling) y estructuras jerárquicas BVH (Bounding Volume Hierarchies) para procesar ~650,000 puntos en aproximadamente 5 minutos, demostrando una integración eficiente entre hardware de captura y procesamiento algorítmico.</t>
  </si>
  <si>
    <t>La metodología se aplica específicamente a la fase de erección de estructuras de acero de edificaciones industriales, validada con cinco escaneos durante diferentes etapas de construcción del Portland Energy Center en Toronto. Se enfoca en elementos prefabricados (columnas, vigas, barras de amarre) cuyas dimensiones de forma cumplen tolerancias previo a la instalación, permitiendo asumir conformidad geométrica y concentrarse en el control de pose as-built (posición y orientación). Los experimentos demuestran aplicabilidad para control de 16 columnas exteriores con rangos de escaneo entre 20-80 m, controlando verticalidad, desviaciones de plomo y distancias entre columnas conectadas estructuralmente según estándares AISC 303-05 y MNL 135-00.</t>
  </si>
  <si>
    <t>Captura: Adquisición de nubes de puntos 3D mediante escaneo láser terrestre con densidades de ~1 punto/3mm a 50m, capturando simultáneamente múltiples objetos del sitio completo. Procesamiento: Algoritmo de tres pasos: (1) registro grueso manual n-point (≥3 pares de puntos coincidentes), (2) registro fino automático del modelo completo mediante ICP con rechazo robusto de outliers (umbral sD adaptativo basado en MSE y umbral angular sA=45°), (3) reconocimiento de objetos por análisis de cobertura superficial (umbral Surfmin=0.01 m²). Comparación: Registro fino individual por objeto para calcular poses as-built, seguido de cálculo automático de diferencias dimensionales (ΔXYZ, ΔZ) entre poses as-designed y as-built, controlando verticalidad, plomo y distancias entre elementos estructuralmente conectados. Reporte: El sistema genera automáticamente métricas de reconocimiento (recall 83%, precision 93%), MSE de registro (~29-183 mm² post-registro fino), y tablas de control dimensional con desviaciones de pose para todos los objetos reconocidos, procesando cada escaneo en ~35 minutos incluyendo cálculo de dimensiones as-built.</t>
  </si>
  <si>
    <t>Verificar la exactitud dimensional comparando poses y distancias as-built con ground truth topográfico en múltiples sitios.",
"tipo": "validación",
"nivel": "sistémico",
"causa": "sin ground truth",
"seccion_origen": "Conclusion",
"literal_autor": "“the experimental results are not conclusive… they could not be verified against any ground truth”",
"prioridad": 1</t>
  </si>
  <si>
    <t>Evaluar el impacto de la precisión del escáner y la densidad/cobertura de puntos en el error de pose as-built.",
"tipo": "evaluación",
"nivel": "técnico",
"causa": "sensibilidad a hardware/densidad",
"seccion_origen": "Future work",
"literal_autor": "“assess the impact of the accuracy of the laser scanner and the number and spread of recognized points”",
"prioridad": 1</t>
  </si>
  <si>
    <t>Integrar BIM con semántica y tolerancias para automatizar puntos de control y verificación de cumplimiento.",
"tipo": "integración",
"nivel": "técnico",
"causa": "no integra BIM+CV",
"seccion_origen": "Discussion",
"literal_autor": "“Future work should include the replacement… with a Building Information Model (BIM)… so that this entire process could be implemented fully automatically.”",
"prioridad": 2</t>
  </si>
  <si>
    <t>Automatizar cálculo de puntos de control y chequeo de tolerancias hoy realizados manualmente.",
"tipo": "método",
"nivel": "técnico",
"causa": "procesos manuales",
"seccion_origen": "Discussion",
"literal_autor": "“the as-built pose of control points… is currently performed manually… compliance… also currently performed manually”",
"prioridad": 2</t>
  </si>
  <si>
    <t>Automation of Construction Progress Monitoring by Integrating 3D Point Cloud Data with an IFC-Based BIM Model</t>
  </si>
  <si>
    <t>Paulius Kavaliauskas, Jaime B. Fernandez, Kevin McGuinness, Andrius Jurelionis</t>
  </si>
  <si>
    <t>buildings</t>
  </si>
  <si>
    <t>BIM, Escaneo láser, Vision Computacional (Nube de puntos)</t>
  </si>
  <si>
    <t>IfcOpenShell, Tekla Structures, Simplebim, Autodesk ReCap, Leica Cyclone, GeoSLAM Hub </t>
  </si>
  <si>
    <t>umbral ICP 0.03 m; downsampling voxel 0.05 m reduce 91–96% puntos y provoca 2–5 objetos no detectados en escenas ocluidas                                                                                                                                              Reglas de decisión 400 pt/m² y 60% de caras son criterios geométricos para decidir si un objeto está “completo”</t>
  </si>
  <si>
    <t>La metodología utiliza escaneo láser terrestre (FARO Focus S70 con precisión 1mm y 1,000,000 puntos/segundo, Leica BLK360 con precisión 4-7mm y 360,000 puntos/segundo) y escaneo láser móvil (ZEB-GO con precisión 10-30mm y 43,000 puntos/segundo) para captura as-built, integrados con modelos BIM basados en IFC (formato IFC2X3). El nivel de integración es alto: implementa un proceso automatizado de tres fases que incluye (1) extracción de vértices de objetos IFC usando librería IfcOpenShell para crear nube de puntos target, (2) alineamiento inicial semi-automático mediante selección de 3 puntos de correspondencia seguido de refinamiento con algoritmo ICP punto-a-punto (umbral 0.03m, RMSE final 0.021m), y (3) detección automática de objetos mediante cálculo de ecuaciones de plano por cara y estimación de distancia punto-a-plano. Incorpora técnicas de optimización computacional como downsampling con voxel de 5cm (reducción 91-96% de puntos) y procesamiento selectivo de un triángulo por cara, logrando procesar datasets de 9-13 millones de puntos.</t>
  </si>
  <si>
    <t>La metodología se aplica específicamente a la fase de construcción de estructuras verticales de edificios de oficinas y residenciales, validada en el proyecto Sqveras (edificio de oficinas, 635 m² por piso) y Piliamiestis A1 (edificio residencial). Se enfoca en monitoreo de elementos estructurales verticales como muros y columnas durante construcción, con experimentos realizados piso por piso en diferentes etapas constructivas (primer y tercer piso del edificio de oficinas). Los casos de estudio incluyen ambientes limpios post-construcción (tercer piso Sqveras escaneado 2 julio 2019), ambientes ocluidos con presencia de encofrados, andamios, materiales de construcción y maquinaria (primer piso Sqveras escaneado 2 julio y 4 junio 2019), y construcción residencial activa (Piliamiestis A1 escaneado 24 diciembre 2021).</t>
  </si>
  <si>
    <t>Captura: Adquisición de nubes de puntos 3D mediante escaneo láser estático (densidad promedio 1438-2211 puntos/m³) y móvil (densidad 521 puntos/m³), con registro de escaneos usando software comercial (Autodesk ReCap, Leica Cyclone, GeoSLAM Hub) y georreferenciación mediante 7 puntos de control con patrón checkerboard y sistema TOPCON GT. Procesamiento: Extracción automática de geometría IFC (vértices, líneas, caras) usando IfcOpenShell Python para crear nube de puntos target, seguido de alineamiento mediante selección manual de 3 puntos de correspondencia para transformación inicial, refinamiento con ICP punto-a-punto (umbral distancia 0.03m), y optimización mediante downsampling voxel 5cm y procesamiento selectivo de triángulos. Comparación: Cálculo de ecuación de plano ax+by+cz+d=0ax+by+cz+d=0 para cada cara triangular de objetos IFC, estimación de distancia punto-a-plano con validación de límites geométricos del plano, y asociación punto-objeto considerando umbrales de 400 puntos/m² por cara y 60% de caras completadas por objeto para clasificación binaria. Reporte: Generación automática de lista ordenada binaria (0=no detectado, 1=construido) indexada por Global ID de objetos IFC, visualización con codificación por colores (verde=completo, azul=incompleto) sobre nube de puntos derivada del BIM, e integración de nubes source y target para análisis adicional, logrando ~99% de detección de objetos en ambientes ocluidos</t>
  </si>
  <si>
    <t>Validar el método en más obras y a escala de edificio completo para evaluar la generalización más allá de pisos aislados.",
"tipo": "validación",
"nivel": "sistémico",
"causa": "alcance restringido a pocos pisos",
"seccion_origen": "Conclusions",
"literal_autor": "“Experiments should be performed on a larger scale”",
"prioridad": 1</t>
  </si>
  <si>
    <t>Incorporar detección de desviaciones geométricas y tolerancias, no solo estado binario construido/no construido.",
"tipo": "método",
"nivel": "técnico",
"causa": "métrica binaria sin desviaciones",
"seccion_origen": "Conclusions",
"literal_autor": "“the method can automatically detect whether the object is built or not; however, it cannot detect deviation”",
"prioridad": 1</t>
  </si>
  <si>
    <t>Eliminar la dependencia de selección manual de 3 puntos o automatizar el pre‑registro para grandes escenas.",
"tipo": "método",
"nivel": "técnico",
"causa": "alineación semi‑manual",
"seccion_origen": "Methodology",
"literal_autor": "“alignment was initiated by allowing the user to select three reference points”",
"prioridad": 2</t>
  </si>
  <si>
    <t>Ampliar validación a más tipologías y elementos (p. ej., MEP, losas, acabados) más allá de muros y columnas.",
"tipo": "alcance",
"nivel": "dominio",
"causa": "foco en estructuras verticales",
"seccion_origen": "Methodology",
"literal_autor": "“The main focus… walls and columns; the floor and ceiling planes were not analyzed”",
"prioridad": 2</t>
  </si>
  <si>
    <t>Activity-level construction progress monitoring through semantic segmentation of 3D-informed orthographic images</t>
  </si>
  <si>
    <t>Aritra Pal, Jacob J. Lin, Shang-Hsien Hsieh, Mani Golparvar-Fard</t>
  </si>
  <si>
    <t>NO</t>
  </si>
  <si>
    <t xml:space="preserve">	mAP50 seg: 90%   	mAP75 seg: 77,4%                         </t>
  </si>
  <si>
    <t xml:space="preserve">con NeRF sintético (70/30)                         mAP50 box: 88,5%                                                       mAP50 seg: 71,3%                                                            MAE avance actividad:                                         MAE=  5.63% </t>
  </si>
  <si>
    <t>Vision computacional (SfM/MVS; ICP;Fotogrametría, Nube de puntos) deep learning (CNN, Mask R-CNN, ResNet.101, NeRF); BIM</t>
  </si>
  <si>
    <t>Homografía; Registro similarity 7-DoF; Proyección 2D→3D; AdamW; LR scheduler; Data augmentation</t>
  </si>
  <si>
    <t>Validada en 2 proyectos de edificación en Taiwán, con 4 estudios de caso (exterior, interior sin techo, interior con techo, balcón) y ~500 elementos BIM evaluados en total                                                                                                                  El artículo no cuantifica impactos en KPIs de gestión como variación de cronograma, ahorro de tiempo de inspección o reducción de reclamos.</t>
  </si>
  <si>
    <t>ALPMS integra múltiples tecnologías en un flujo de trabajo cohesionado: cámaras comerciales, UAVs, cámaras 360° y fisheye para captura de imágenes/videos; algoritmos SfM-MVS para reconstrucción 3D de nubes de puntos as-built; BIM 4D como modelo as-planned; registro ICP para alineación geométrica; transformación proyectiva y Neural Radiance Fields (NeRF) para síntesis de vistas ortográficas; y Mask R-CNN (ResNet-101) entrenado con transfer learning para segmentación semántica de seis clases de actividades constructivas (concreto, encofrado, acero de refuerzo, estructura metálica, baldosas de piso y pared). El nivel de integración es alto: las tecnologías se combinan secuencialmente desde captura hasta reporte, con retroalimentación entre módulos (p.ej., parámetros de cámara de SfM alimentan NeRF, máscaras de segmentación se proyectan a nubes de puntos).</t>
  </si>
  <si>
    <t>La metodología se aplica principalmente a trabajo estructural (encofrado, acero de refuerzo, colocación de concreto, estructura de acero) y trabajo de acabados (colocación de baldosas de piso y pared). Los casos de estudio validaron el sistema en distintas fases: construcción estructural en pisos 1°, 3° y 4° de edificio educativo (escenarios indoor con/sin techo y outdoor), y acabados en piso 3° de edificio de vivienda social (balcones indoor). El enfoque se centra en actividades a nivel de cronograma (schedule activities) vinculadas a elementos BIM como muros, columnas, vigas y losas, monitoreando secuencias de construcción típicas (p.ej., para un muro de concreto: amarre de acero → encofrado → colocación de concreto → desencofrado → revoque).</t>
  </si>
  <si>
    <t>Captura: Imágenes/videos de sitio mediante dispositivos diversos (UAV, cámaras 360°, fisheye, comerciales). Procesamiento: Reconstrucción 3D de nubes de puntos as-built con SfM-MVS; limpieza con Statistical Outlier Removal (SOR); síntesis de vistas ortográficas mediante transformación proyectiva (para caras visibles completamente) o NeRF (para caras parciales/ocluidas); segmentación semántica de vistas ortográficas con Mask R-CNN entrenado en dataset personalizado de 2458 imágenes anotadas. Comparación: Registro BIM-nube de puntos (manual + ICP); detección de elementos en construcción mediante conteo de puntos en bounding boxes expandidos (umbral: 1000 puntos/m²); identificación de actividad en curso mediante análisis de relaciones de precedencia. Reporte: Cálculo de porcentaje de completitud por actividad como ratio entre área de máscaras segmentadas y área total de la cara del elemento; exportación a hojas de cálculo para actualización de cronogramas y Earned Value Management; visualización 3D mediante codificación de colores en BIM (verde/ámbar/rojo) y segmentación semántica de nubes de puntos as-built. El sistema logró un error absoluto medio de 5.63% en cuatro casos de estudio.</t>
  </si>
  <si>
    <t>Mejorar la calidad de orto‑vistas NeRF para eliminar artefactos en zonas con baja cobertura de cámaras, especialmente en la mitad inferior de elementos.",
"tipo": "método",
"nivel": "técnico",
"causa": "artefactos NeRF por captura manual",
"seccion_origen": "Conclusions",
"literal_autor": "“performance deficiency ... due to artifacts in the NeRF-generated ortho view image due to manual data collection”",
"prioridad": 1</t>
  </si>
  <si>
    <t>Desarrollar estrategias para manejar oclusión estática por apilamiento de materiales que bloquea toda la vista del elemento en todas las cámaras.",
"tipo": "método",
"nivel": "técnico",
"causa": "oclusión estática persistente",
"seccion_origen": "Results and discussions",
"literal_autor": "“static occlusion caused by material stacking ... caused a problem for activity-level progress detection”",
"prioridad": 1</t>
  </si>
  <si>
    <t>Incorporar preprocesamiento para condiciones de baja iluminación en interiores que degradan la segmentación y el cálculo de avance.",
"tipo": "método",
"nivel": "técnico",
"causa": "iluminación insuficiente",
"seccion_origen": "Results and discussions",
"literal_autor": "“some locations are very dark ... Progress detection results in such areas are often erroneous.”",
"prioridad": 2</t>
  </si>
  <si>
    <t>Reducir el tiempo y frecuencia del proceso de reconstrucción 3D (SfM‑MVS) mediante SLAM o localización 2D→3D.",
"tipo": "método",
"nivel": "técnico",
"causa": "cómputo elevado reconstrucción",
"seccion_origen": "Results and discussions",
"literal_autor": "“Future research should investigate reducing the time and frequency required for 3D reconstruction through SLAM and CNN-based 2D to 3D image localization techniques.”",
"prioridad": 2</t>
  </si>
  <si>
    <t>Augmenting progress monitoring in soil-foundation construction utilizing SOLOv2-based instance segmentation and visual BIM representation</t>
  </si>
  <si>
    <t>Wei Wei, Yujie Lu, Yijun Lin, Ruihan Bai, Yichong Zhang, Haisong Wang, Peixian Li</t>
  </si>
  <si>
    <t xml:space="preserve">	mAP50 seg: 95.2%     	mAP75 seg: 90,9%     mAP seg: 85,7%                                       </t>
  </si>
  <si>
    <t xml:space="preserve">Error de progreso medio menor al 1%                  generalización externa Segm‑mAP75 ≈ 86% (n=85)                                 </t>
  </si>
  <si>
    <t>BIM; Vision Computacional y deep learning; (SOLOv2; Swin Transformer; NAS‑FPN)</t>
  </si>
  <si>
    <t>UAV; Revit API; MMDetection; Pytorch; Perspective transform; Grid‑based mapping</t>
  </si>
  <si>
    <t>Validacion en obra de edificio en Hangzhou, China; 1000 imágenes UAV multiángulo, split 700/200/100 para train/val/test; corrección de perspectiva para vistas completa                                                                   Validación cruzada en otros sitios: tres proyectos adicionales (Kunming, Wenzhou, Shanghái), 85 imágenes;</t>
  </si>
  <si>
    <t>La metodología utiliza una combinación integrada de vehículos aéreos no tripulados (UAVs) para captura de imágenes aéreas, visión computacional mediante redes neuronales profundas (SOLOv2 mejorado con Swin Transformer y NAS-FPN), y Building Information Modeling (BIM) con integración vía RevitAPI. El nivel de integración es alto, conectando captura, procesamiento y visualización en un framework unificado que mapea automáticamente el progreso detectado al modelo BIM mediante transformaciones de coordenadas pixel-mundo y métodos de grillas auto-adaptativas.</t>
  </si>
  <si>
    <t>La metodología se aplica específicamente a construcción de cimentaciones y fundaciones (soil-foundation construction), dividida en cuatro etapas constructivas clave: excavación, construcción de puntales (struts), construcción de losas de base (baseplate construction en dos sub-etapas: baseplate-on y baseplate-completed), y construcción de sótanos (basement construction con shuttering/encofrado). El enfoque principal está en monitorear el progreso de losas de base y encofrados, que involucran áreas de construcción a gran escala y períodos prolongados.</t>
  </si>
  <si>
    <t>El enfoque incluye: Captura mediante UAVs recolectando 1000 imágenes multi-ángulo con transformación de perspectiva para eliminar distorsión; Procesamiento mediante SOLOv2 mejorado que segmenta automáticamente componentes estructurales (suelo, puntales, losas, encofrados) y calcula progreso porcentual por área de píxeles; Comparación mediante método de mapeo basado en grillas auto-adaptativas que transforma coordenadas píxel-mundo y extrae progreso diferencial entre períodos temporales; Reporte mediante visualización automática en BIM usando RevitAPI para mapear progreso real y diferencial con codificación de colores, alcanzando precisión mAP de 90.9% y errores menores al 1%.</t>
  </si>
  <si>
    <t>Evaluar en más obras y regiones para medir generalización externa más allá de tres proyectos y 85 imágenes.",
"tipo": "validación",
"nivel": "sistémico",
"causa": "muestra externa pequeña",
"seccion_origen": "Case study",
"literal_autor": "“selected three… projects… 85 aerial images… Segm-mAP75 of 86%.”",
"prioridad": 1</t>
  </si>
  <si>
    <t>Ampliar el dataset con mayor diversidad de condiciones (iluminación, clima) y escenarios de oclusión más severos.",
"tipo": "datos",
"nivel": "dominio",
"causa": "condiciones controladas UAV",
"seccion_origen": "Discussion",
"literal_autor": "“insufficient illumination and occlusion… challenges in the collection of completed, consecutive, and high-quality… images.”",
"prioridad": 1</t>
  </si>
  <si>
    <t>Extender la evaluación a excavaciones multinivel y fundaciones profundas con estimación de profundidad.",
"tipo": "alcance",
"nivel": "dominio",
"causa": "solo un nivel de fundación",
"seccion_origen": "Conclusion",
"literal_autor": "“limited by the sole focus on progress evaluation in the context of single-story soil-foundation construction… Future research can address the depth prediction issue… for deep foundation engineering or underground engineering.”",
"prioridad": 1</t>
  </si>
  <si>
    <t>Reducir la dependencia de la asunción de coordenada z conocida incorporando estimación de profundidad/altimetría.",
"tipo": "método",
"nivel": "técnico",
"causa": "supuesto fuerte de z’ conocido",
"seccion_origen": "Method",
"literal_autor": "“the assumption of the present study was that the world coordinate z’ was a known item.”",
"prioridad": 1</t>
  </si>
  <si>
    <t>Platform-independent visual installation progress monitoring for construction automation</t>
  </si>
  <si>
    <t>Xinge Zhao, Yuxin Jin, Nithish Muthuchamy Selvaraj, Muhammad Ilyas, Chien Chern Cheah</t>
  </si>
  <si>
    <t>mAP50:95 det = 89.3%</t>
  </si>
  <si>
    <t>comparación cualitativa vs YOLOv3 (menos falsos, mayor confianza); falsos crudos→0 tras postproceso BIM; tiempos por plataforma/esquema</t>
  </si>
  <si>
    <t>BIM, Vision Computacional y deep learning, (Cascade R-CNN, Swim Transformer)</t>
  </si>
  <si>
    <t>ROS (move_base, Dijkstra, DWA), Servidor GPU en la nube, VPN WireGuard, Revit/Dynamo/IFC, Generación de mapas de navegación desde BIM</t>
  </si>
  <si>
    <t>validación en laboratorio y en obra (residencial y bodega industrial) con múltiples plataformas: robot móvil con ROS, robot cuadrúpedo, dron, manipulador y cámara de mano; además, caso de tuberías con estrategia de tracking en corredor</t>
  </si>
  <si>
    <t>La metodología utiliza una combinación altamente integrada de Building Information Modeling (BIM) mediante archivos IFC procesados con Revit y Dynamo, robótica multi-plataforma (robots móviles con ROS, robots cuadrúpedos Unitree Aliengo, drones Tello EDU, manipuladores UR5e, cámaras manuales), visión computacional basada en Swin Transformer con arquitectura Cascade RCNN de 3 fases entrenada con transferencia de aprendizaje, y sistema de visión en nube con servidor multi-GPU conectado vía VPN WireGuard. El nivel de integración es muy alto, con cuatro módulos secuenciales: generación de checklist BIM, diseño automático de puntos de navegación (point-based, region-based, tracking-based), detección mediante IA, y actualización de progreso mediante algoritmos que correlacionan detecciones con objetos BIM, permitiendo conexión potencial con Process Information Modeling (PIM) para gestión en tiempo real.</t>
  </si>
  <si>
    <t>La metodología se aplica específicamente a instalación interior de componentes constructivos durante la fase de ejecución de obra, incluyendo elementos arquitectónicos (puertas, ventanas), eléctricos (interruptores, enchufes, luminarias, cajas eléctricas), telecomunicaciones (puertos de datos), mecánicos y eléctricos (tuberías colgantes en corredores, ductos de ventilación), seguridad contra incendios, y acabados (drywall, baldosas). Se valida en dos tipos de ambientes: bloques residenciales con unidades de 6.37m × 8.64m para monitoreo region-based de componentes agrupados, y bodegas industriales de 48.7m × 49.3m para monitoreo point-based de componentes dispersos, cubriendo múltiples etapas desde instalación parcial hasta completitud total.</t>
  </si>
  <si>
    <t>El enfoque incluye: Captura mediante tres estrategias de adquisición adaptadas al ambiente (captura única en point-based, rotación 360° en region-based, captura continua controlada por posición en tracking-based) usando plataformas robóticas con navegación automática mediante mapas ROS generados desde BIM, algoritmo Dijkstra para planificación global y Dynamic Window Approach para planificación local; Procesamiento mediante detector Swin Transformer-S con backbone de 4 etapas y Cascade RCNN de 3 fases alcanzando 89.3% mAP, operando en servidor cloud multi-GPU con conexión VPN; Comparación mediante tres algoritmos de actualización de checklist que correlacionan objetos detectados con modelo BIM as-planned usando información de ubicación de goal points, filtrado basado en ángulos (ecuaciones 6-7) para eliminar falsas detecciones, y umbral de presencia para elementos continuos; Reporte mediante generación automática de reportes de progreso jerárquicos por categoría, habitación, unidad y etapa, calculando porcentaje de completitud y progreso diferencial entre etapas, con capacidad de integración potencial a PIM para notificaciones en tiempo real.</t>
  </si>
  <si>
    <t>Validar la generalización del detector con más sitios, climas y condiciones de iluminación para reducir sesgo de dataset.",
"tipo": "validación",
"nivel": "sistémico",
"causa": "datasets limitados por entorno",
"seccion_origen": "Experimental results and discussion",
"literal_autor": "",
"prioridad": 1</t>
  </si>
  <si>
    <t>Incorporar sensores no visuales (ultrasonido, LiDAR de alta resolución) para inspecciones de calidad no visibles a cámara.",
"tipo": "método",
"nivel": "técnico",
"causa": "solo cámaras, no cubre calidad no visual",
"seccion_origen": "Conclusions",
"literal_autor": "“the current system relies solely on cameras and cannot be utilized for quality inspections that cannot be done visually. Additional sensors such as ultrasonic transducers, high-resolution lidar… can be used.”",
"prioridad": 1</t>
  </si>
  <si>
    <t>Publicar y estandarizar el dataset de interiores (clases, anotaciones COCO) para reproducibilidad y benchmarking.",
"tipo": "reproducibilidad",
"nivel": "sistémico",
"causa": "datos no compartidos",
"seccion_origen": "Data availability",
"literal_autor": "“The authors do not have permission to share data.”",
"prioridad": 1</t>
  </si>
  <si>
    <t>Ampliar la integración con Modelado de Información de Procesos﻿ (PIM ) para actualizar BIM en tiempo real y cerrar el ciclo de gestión.",
"tipo": "integración",
"nivel": "técnico",
"causa": "PIM conceptual sin implementación",
"seccion_origen": "Conclusions",
"literal_autor": "“our proposed integration of PIM into the system is currently at a conceptual level and requires further development to update BIM in real time.”",
"prioridad": 1</t>
  </si>
  <si>
    <t>Deep learning-based computer vision in project management: Automating indoor construction progress monitoring</t>
  </si>
  <si>
    <t>Biyanka Ekanayake, Johnny Kwok Wai Wong, Alireza Ahmadian Fard Fini, Peter Smith, Vishal Thengane.</t>
  </si>
  <si>
    <t>Project Leadership and Society</t>
  </si>
  <si>
    <t>mAP50:95 det = 88.02%</t>
  </si>
  <si>
    <t>pérdida_train: 0.19; pérdida_val: 0.20</t>
  </si>
  <si>
    <t>Vision Computacional y Deep learning (Mask R-CNN (ResNet-FPN)); Plataforma/Framework (Detectron2; PyTorch) </t>
  </si>
  <si>
    <t>OpenCV, Imgaug, Google Colab, Streamlit, Cámara time‑lapse, Datos BIM</t>
  </si>
  <si>
    <t>validación: Entrenamiento con imágenes de dos obras interiores (Proyecto 1: 703 imágenes; Proyecto 2: 675 imágenes; total 1.378), más 200 imágenes aumentadas (total entrenamiento 1.578), y prueba en un tercer proyecto (100 imágenes) no visto durante el entrenamiento para validar capacidad en entorno nuevo</t>
  </si>
  <si>
    <t>La metodología utiliza una combinación integrada de tecnologías: cámaras time-lapse Brinno TLC200 Pro para captura automatizada de imágenes de obra, deep learning mediante modelo Mask R-CNN optimizado con arquitectura ResNet-FPN para detección y segmentación de elementos constructivos (marcos, aislación, placas de yeso), técnicas de preprocesamiento de imágenes (transformación de perspectiva, mejora de baja iluminación, aumento de datos fotométricos y geométricos mediante imgaug), y plataforma cloud Google Colab para entrenamiento del modelo con GPU. El nivel de integración es alto, con un flujo automatizado completo desde captura de imágenes hasta generación de resultados mediante despliegue en plataforma web Streamlit que permite a gerentes de proyecto sin conocimientos de programación utilizar el modelo entrenado.</t>
  </si>
  <si>
    <t>La metodología se aplica específicamente a la fase de construcción interior, enfocándose en el progreso de instalación de muros interiores que comprende tres estados consecutivos: instalación de marcos metálicos (framing), instalación de mantas de aislación térmica (insulation), e instalación de placas de yeso (drywall). El enfoque en muros interiores se justifica porque representan un componente crítico de la construcción interior cuyas demoras tienen consecuencias costosas, y su monitoreo beneficia múltiples oficios (gerentes de obra, instaladores de marcos, aislación y placas de yeso).</t>
  </si>
  <si>
    <t>Captura: Cámaras time-lapse instaladas en sitio capturan automáticamente imágenes de progreso desde múltiples ángulos y condiciones de iluminación (natural y artificial), con 1,378 imágenes de entrenamiento de dos proyectos y 100 de prueba de un tercero. Procesamiento: Preprocesamiento mediante transformación de perspectiva y mejora de iluminación con método dual channel dark-bright, seguido de detección y segmentación automática mediante Mask R-CNN optimizado (mAP 88.02%) entrenado con framework PyTorch/Detectron2 en Google Colab, con aumento de datos mediante imgaug. Comparación: Cálculo automático de porcentaje de avance mediante ratio entre área de píxeles del estado as-built detectado (máscaras de segmentación) y área física del muro obtenida de modelos BIM 3D as-planned, usando ecuaciones que relacionan Pd/Pw = Sd/Sw para mapear píxeles a metros cuadrados. Reporte: Despliegue del modelo en plataforma web Streamlit que permite cargar imágenes, ejecutar segmentación automática, visualizar resultados con máscaras de color por estado (rojo=marcos, verde=aislación, azul=placa de yeso) y porcentaje de completitud, y descargar reportes.</t>
  </si>
  <si>
    <t>Validar el modelo en más obras y escenarios interiores para mejorar la generalización externa.",
"tipo": "validación",
"nivel": "sistémico",
"causa": "pocos sitios evaluados",
"seccion_origen": "Conclusions and future directions",
"literal_autor": "“generalizability could be improved by testing on more indoor sites and different progress monitoring scenarios”",
"prioridad": 1</t>
  </si>
  <si>
    <t>Liberar dataset anotado o artefactos reproducibles (pesos, código) o un protocolo de acceso para replicación.",
"tipo": "reproducibilidad",
"nivel": "sistémico",
"causa": "datos confidenciales",
"seccion_origen": "Deploying details / Data availability",
"literal_autor": "“The GitHub repository... was not made available to the public... The data that has been used is confidential.”",
"prioridad": 1</t>
  </si>
  <si>
    <t>Evaluar robustez bajo variaciones de iluminación, oclusiones y ángulos con protocolos estandarizados.",
"tipo": "evaluación",
"nivel": "técnico",
"causa": "condiciones visuales desafiantes",
"seccion_origen": "Discussion",
"literal_autor": "“occlusions, clutter, variable lighting... require advanced preprocessing”",
"prioridad": 2</t>
  </si>
  <si>
    <t>Integrar el pipeline de visión con BIM as-planned para comparación automática as-built vs as-planned.",
"tipo": "integración",
"nivel": "técnico",
"causa": "no integra BIM+CV",
"seccion_origen": "Discussion",
"literal_autor": "“the physical wall area obtained from 3D construction models” (sin alineación/actualización BIM)",
"prioridad": 2</t>
  </si>
  <si>
    <t>Hybrid self-supervised learning-based architecture for construction progress monitoring</t>
  </si>
  <si>
    <t>Varun Kumar Reja, Shreya Goyal, Koshy Varghese, Balaraman Ravindran, Quang Phuc Ha</t>
  </si>
  <si>
    <t>80.86 (S3DIS)                         80.95 (Caso Real)</t>
  </si>
  <si>
    <t xml:space="preserve">F1_SCORE ≈ 80.4 (se reporto F1 para cada clase, se dejo el promedio a manera represntativa)                                                                                                                     </t>
  </si>
  <si>
    <t>Visión computacional (Nube de puntos 3D; Crecimiento de regiones; Normales por RHT; Reconstrucción de superficie Poisson; K‑means), deep learning (Auto‑supervisado; Aprendizaje contrastivo; DGCNN; SVM) ; Sensado LiDAR (iPad LiDAR, caso real)</t>
  </si>
  <si>
    <t>Validacion en dataset preentrenamiento y posterior estudio de caso            No entrega una métrica resumen del tipo error medio absoluto o precisión global de “estimación de avance” sobre múltiples elementos/etapas; solo muestra un ejemplo (C1) con desviación de 0.41 puntos porcentuales entre progreso estimado vs. real, a modo demostrativo, no como evaluación sistemática del control de avance.</t>
  </si>
  <si>
    <t>ConPro-NET integra tecnologías de visión computacional basadas en aprendizaje profundo con métodos heurísticos para el monitoreo del progreso constructivo mediante computer vision-based construction progress monitoring (CV-CPM). La metodología utiliza nubes de puntos 3D como entrada, capturadas con escáneres (Matterport) y sensores LiDAR (iPad Pro con sensor LiDAR DTOF). El núcleo tecnológico combina aprendizaje auto-supervisado mediante contrastive learning con Dynamic Graph Convolutional Neural Networks (DGCNN) como red backbone para extracción automática de características. Estas características aprendidas se augmentan con características handcrafted (valores RGB promedio, área superficial, coordenada Z promedio, y características de covarianza como linearidad, planaridad y verticalidad). El nivel de integración es alto: la arquitectura fusiona segmentación no supervisada basada en region-growing con clasificación auto-supervisada mediante redes neuronales, culminando en un clasificador SVM que utiliza vectores de características híbridas para identificar seis clases de elementos constructivos (muros, puertas, losas, ventanas, vigas y columnas).</t>
  </si>
  <si>
    <t>La metodología se aplica a múltiples fases de construcción de edificaciones, demostrándose en un caso de estudio de construcción residencial en Chennai, India, con cinco etapas constructivas secuenciales. Las fases monitoreadas incluyen: completación de vigas de cimentación (plinth beam), primer alzado de columnas, segundo alzado de columnas, completación de losas, y etapa de mampostería incompleta. ConPro-NET se enfoca en la detección del estado as-built durante las etapas de ejecución estructural donde los componentes tienen identidad geométrica distinguible (antes de que elementos como vigas y columnas queden embebidos en muros o losas). El enfoque es particularmente efectivo para reconocer elementos estructurales y arquitectónicos en entornos de construcción interior, utilizando el dataset S3DIS de escenas interiores 3D para pre-entrenamiento.</t>
  </si>
  <si>
    <t xml:space="preserve">Captura: ConPro-NET utiliza nubes de puntos 3D capturadas con escáneres Matterport y sensores LiDAR integrados en iPad Pro, obteniendo datos XYZ (posición) y RGB (color) de cada punto. Procesamiento: El pipeline inicia con preprocesamiento que incluye preparación de datos, down-sampling (umbral de 0.015m), estimación de normales mediante Randomized Hough Transform (RHT), y augmentación de datos. La segmentación no supervisada emplea region-growing basado en normales, refinamiento de clusters, fusión de planos (clubbing) mediante umbrales de distancia centro-a-centro, y remoción de ruido eliminando clusters menores a 2048 puntos. El módulo de clasificación híbrida auto-supervisada divide objetos aleatoriamente en dos partes para contrastive learning con el modelo ContraSim, extrae características mediante DGCNN, aplica clustering K-means++ para asignar pseudo-etiquetas, y refina características con el modelo Clusterify realizando clasificación supervisada de 6 clases con las pseudo-etiquetas. Las características contrastivas se augmentan con 9 características handcrafted, seleccionando las 103 más importantes mediante permutation importance para formar el vector híbrido final que alimenta un clasificador SVM. Comparación: El progreso se cuantifica comparando el área superficial as-built de elementos identificados por ConPro-NET con el área superficial as-planned del modelo BIM 3D, calculando el porcentaje de avance elemento por elemento. Reporte: La metodología proporciona cuantificación del progreso (Nivel 3 de CV-CPM) mediante información de elementos construidos por clase, convertible a formatos como área superficial construida, permitiendo determinar el estado de completación de clases individuales de elementos para mejor toma de decisiones.​
</t>
  </si>
  <si>
    <t>Evaluar generalización en múltiples obras y dispositivos (TLS, escáneres de mayor precisión) más allá de iPad LiDAR.",
"tipo": "validación",
"nivel": "sistémico",
"causa": "un solo sitio y hardware específico",
"seccion_origen": "Limitations",
"literal_autor": "“Future experiments will be conducted using other data acquisition devices, such as high-precision terrestrial laser scanners”",
"prioridad": 1
},</t>
  </si>
  <si>
    <t>Desarrollar estrategias para detectar elementos embebidos (vigas/columnas en muros/losas) que pierden identidad geométrica.",
"tipo": "método",
"nivel": "técnico",
"causa": "elementos embebidos difíciles",
"seccion_origen": "Conclusions",
"literal_autor": "“challenge of identifying embedded elements… lose their geometric identity”",
"prioridad": 1</t>
  </si>
  <si>
    <t>Construir y usar un gran dataset de nubes de puntos en obra (mid-construction) para preentrenar y evaluar clases incompletas.",
"tipo": "datos",
"nivel": "dominio",
"causa": "falta de datos de obra en proceso",
"seccion_origen": "Limitations",
"literal_autor": "“a significant amount of mid-construction data will be captured and utilized”",
"prioridad": 1</t>
  </si>
  <si>
    <t>Evaluar métricas de precisión del control de avance a nivel proyecto (p.ej., error medio de progreso por elemento/etapa) más allá de ejemplos puntuales.",
"tipo": "evaluación",
"nivel": "sistémico",
"causa": "métricas limitadas de progreso",
"seccion_origen": "inferencia",
"literal_autor": "",
"prioridad": 1</t>
  </si>
  <si>
    <t>Monitoring concrete pouring progress using knowledge graph-enhanced computer vision</t>
  </si>
  <si>
    <t>Fabian Pfitzner, Songbo Hu, Alexander Braun, André Borrmann, Yihai Fang</t>
  </si>
  <si>
    <t xml:space="preserve"> mAP50=95.2%,</t>
  </si>
  <si>
    <t>detección: mAP50=95.2%, precisión=91.1%, recall=92.7%;                             estados (reglas): precision =80.3%                                            estados (GNN):  precision = 89.2% </t>
  </si>
  <si>
    <t>BIM, Vision computacional (YOLOv8), Deep learning: (redes neuronales de grafos﻿ (GNN))</t>
  </si>
  <si>
    <t>IFCOpenShell, Neo4j, PyTorch, PyTorch Geometric, Homografías, Cámaras fijas grúa </t>
  </si>
  <si>
    <t> Validación dos obras de edificación en Múnich (proyectos A y B), con cámaras fijas en torres de grúa, 4K cada 30 s, analizando 10 muestras (521 y 566 frames por proyecto; total ≈540 min).</t>
  </si>
  <si>
    <t>La metodología integra visión computacional (CV) con grafos de conocimiento (KG) y modelos BIM. Utiliza YOLOv8x para detección de objetos críticos (mezcladora, balde, manguera, trabajadores, gancho de grúa) con precisión mAP-50 de 95.2%, y redes neuronales de grafos (GNN) con arquitectura Graph Attention Networks (GAT) para razonamiento de estados, alcanzando 89.2% de precisión. Las cámaras fijas en grúas capturan imágenes 4K cada 30 segundos; matrices de homografía proyectan coordenadas 2D de imagen a coordenadas 3D del modelo BIM IFC. Neo4J almacena el grafo de conocimiento que integra datos de visión computacional, relaciones espacio-temporales de objetos, y volúmenes de diseño extraídos automáticamente del modelo IFC mediante IFCOpenShell. El nivel de integración es alto y modular, implementado en arquitectura Docker con contenedores independientes para entrenamiento CNN, entrenamiento GNN y despliegue operacional.</t>
  </si>
  <si>
    <t>La metodología se aplica específicamente al proceso de vaciado de concreto in-situ mediante método grúa-balde (crane-and-skip) durante la construcción de elementos estructurales principales como columnas, muros y losas. Monitorea tres estados cíclicos del proceso: carga (loading) del concreto desde mezcladora al balde, movimiento (moving) del balde mediante grúa hacia ubicación de vaciado, y vaciado (pouring) del concreto en encofrados. Fue validada en dos proyectos de construcción de edificios en Múnich, Alemania, durante 5 y 7 meses respectivamente, cubriendo múltiples pisos y perspectivas de cámara. La metodología permite identificar cuellos de botella como tiempos de espera prolongados (hasta 20 minutos) entre ciclos y operaciones mixtas de grúa (vaciado intercalado con elevación de otros materiales como barras de refuerzo).Monitoring-concrete-pouring-progress-using-knowledge-graph-enhanced.pdf​</t>
  </si>
  <si>
    <t>Captura: Cámaras 4K montadas en torres de grúa adquieren imágenes cada 30 segundos desde múltiples perspectivas y alturas. Procesamiento: YOLOv8x detecta 5 objetos críticos (mezcladora, balde, manguera, trabajadores, gancho); el grafo de conocimiento representa relaciones espacio-temporales usando modelo ontológico que define áreas significativas alrededor del balde (área A arriba: gancho, área B proximal: mezcladora/trabajadores, área C inferior: manguera/trabajadores); dos métodos de razonamiento interpretan estados: basado en reglas (80.3% precisión) y GNN con GAT (89.2% precisión); post-procesamiento temporal reconstruye estados en frames con oclusiones usando información de predecesores/sucesores y distancia recorrida del balde. Comparación: Proyección geométrica mediante matrices de homografía vincula punta de manguera detectada en imagen con grilla zonal 15×15m generada automáticamente sobre modelo IFC; volúmenes as-designed se extraen por celda sumando volúmenes netos de elementos IFC con manejo de elementos que intersectan múltiples celdas mediante ratio de áreas; volúmenes as-performed se actualizan al detectar estado "pouring" y entrada de manguera a celda, asignando volumen del balde (2.5 m³) proporcionalmente según número de detecciones por celda. Reporte: El grafo enriquecido permite consultas Cypher para análisis de progreso por zonas, tiempos de ciclo por estado, identificación de ciclos no estándar, y comparación as-designed vs as-performed con precisión global 91.3%.</t>
  </si>
  <si>
    <t>Escalar la validación a más obras, cámaras y condiciones ambientales para robustez inter-proyecto.",
"tipo": "validación",
"nivel": "sistémico",
"causa": "dos proyectos y 10 muestras",
"seccion_origen": "Experiments and results",
"literal_autor": "",
"prioridad": 1</t>
  </si>
  <si>
    <t>Incorporar manejo geométrico explícito de aberturas y vacíos al cómputo por celdas para mejorar la asignación de volúmenes.",
"tipo": "método",
"nivel": "técnico",
"causa": "no considera aberturas precisas",
"seccion_origen": "Discussion",
"literal_autor": "“does not account for the precise locations of openings… addressing this would require… complex geometry processing”",
"prioridad": 1</t>
  </si>
  <si>
    <t>Validar en escenarios multi-grúa y múltiples baldes simultáneos con vistas superpuestas.",
"tipo": "validación",
"nivel": "sistémico",
"causa": "escenario de una sola grúa",
"seccion_origen": "Discussion",
"literal_autor": "“our approach focuses on single-crane scenarios with one active bucket… extending to multiple cranes… would be necessary”",
"prioridad": 1</t>
  </si>
  <si>
    <t>Mejorar la robustez ante oclusiones severas que afectan la inferencia de estados.",
"tipo": "método",
"nivel": "técnico",
"causa": "oclusiones de manguera/estructuras",
"seccion_origen": "Discussion",
"literal_autor": "“challenges remain in interpreting concrete pouring with heavy occlusions”",
"prioridad": 2</t>
  </si>
  <si>
    <t>Neural radiance fields for construction site scene representation and progress evaluation with BIM</t>
  </si>
  <si>
    <t>Yuntae Jeon, Dai Quoc Tran, Khoa Tran Dang Vo, Jaehyun Jeon, Minsoo Park, Seunghee Park</t>
  </si>
  <si>
    <t>mAE seg= 7.0                                       mAE seg= 5.7</t>
  </si>
  <si>
    <t xml:space="preserve"> Error Absoluto medio (mAE) promedio 7.0 en segmentación y 5.7 en seguimiento, mostrando que el seguimiento guiado por BIM puede ser más estable en elementos incompletos                            Segmentación: detecta y delimita dónde están los elementos (muros, pilares, vigas, losas) en la imagen NeRF.
Seguimiento: compara lo detectado (estado real) con el plan BIM para medir el progreso de construcción de cada elemento</t>
  </si>
  <si>
    <t>segmentacion = 93.0%                      seguimiento = 94.3%</t>
  </si>
  <si>
    <t xml:space="preserve">Visión computacional y deep learning  (NeRF 3D, SAM Transformer, Nerfstudio) </t>
  </si>
  <si>
    <t xml:space="preserve">Smartphone video, UAV video, SfM (Pix4D), NVIDIA Omniverse, Checkerboards, MDL shaders, Flash LiDAR	8 </t>
  </si>
  <si>
    <t>Validación tres escenas reales de obra (centro educativo en Miryang, Corea), procesos de hormigonado y etapas previas, con videos capturados por smartphone y UAV; poses de cámara estimadas vía SfM (Pix4D) y, adicionalmente, Flash LiDAR para comparación cualitativa de sensores</t>
  </si>
  <si>
    <t>La metodología integra Neural Radiance Fields (NeRF) con Building Information Modeling (BIM) mediante sincronización de sistemas de coordenadas. Utiliza el modelo Segment Anything Model (SAM) basado en Vision Transformer (ViT-H) para segmentación semántica, y la plataforma NVIDIA Omniverse Kit para generación automatizada de máscaras ground truth desde BIM. Para captura de datos emplea smartphones (iPhone 15 Pro, resolución 1920×1080) y drones (DJI Mini 2 Pro), con estimación de poses de cámara mediante Structure-from-Motion (SfM) usando Pix4D cloud. El nivel de integración es alto: NeRF renderiza escenas realistas desde poses optimizadas, SAM segmenta elementos constructivos automáticamente, y BIM proporciona máscaras de comparación sincronizadas mediante transformación matricial 4×4 calculada con checkerboards instalados en sitio.</t>
  </si>
  <si>
    <t>La metodología se aplica específicamente al proceso de vaciado de concreto (concrete pouring) en edificaciones arquitectónicas. Los experimentos se realizaron en tres escenarios diferentes: Escena 1 post-vaciado de concreto completo, Escena 2 durante instalación de formaletas (formwork), y Escena 3 durante instalación de refuerzo de acero (rebar reinforcement) previo al vaciado. Se evaluaron cuatro elementos estructurales: muros, pilares, vigas y losas encontrados comúnmente en sitios de construcción de concreto arquitectónico. El método permite monitoreo tanto de elementos completados como de procesos en curso, diferenciando entre precisión de segmentación (elementos terminados) y seguimiento de progreso (elementos en construcción).</t>
  </si>
  <si>
    <t xml:space="preserve">Captura: Videos capturados con smartphone/drones desde múltiples vistas, con instalación de checkerboards en sitio para alineación de coordenadas. Poses de cámara extraídas mediante SfM (Pix4D). Procesamiento: Entrenamiento de modelo NeRF (Instant-NGP) para representación volumétrica de escena 3D usando MLP, con 100k iteraciones en GPU NVIDIA RTX 4090. Sincronización NeRF-BIM mediante matriz de transformación calculada con feature matching de checkerboards. Comparación: Optimización automática de poses de cámara según tipo de elemento (ortogonal para muros/losas a 2m distancia, rotacional 0°-270° para pilares, 45°-135° para vigas). Segmentación mediante SAM point-based sobre imágenes renderizadas por NeRF, comparadas con máscaras ground truth generadas automáticamente desde BIM en Omniverse Kit. Reporte: Cálculo de IoU (Intersection over Union) para cuantificar progreso en porcentaje y precisión de segmentación. wRMSE (weighted Root Mean Squared Error) para medir discrepancias dimensionales en ancho/alto de elementos. Resultados: 8.7 mAE segmentación en escenas completas, 5.7 mAE seguimiento en escenas en progreso.​
</t>
  </si>
  <si>
    <t>Validar el método en más obras y condiciones (interior/exterior, iluminación variable, escenas dinámicas) para evaluar generalización.",
"tipo": "validación",
"nivel": "sistémico",
"causa": "tres escenas de un mismo sitio",
"seccion_origen": "Limitations",
"literal_autor": "“several limitations must be addressed to enhance its robustness and applicability in real-world scenarios”",
"prioridad": 1</t>
  </si>
  <si>
    <t>Desarrollar sincronización NeRF–BIM más robusta sin checkerboards usando matching de características y bordes aprendido.",
"tipo": "integración",
"nivel": "técnico",
"causa": "dependencia de checkerboards",
"seccion_origen": "Limitations",
"literal_autor": "“our feature point matching algorithm rely on checkerboard… utilizing deep learning-based feature points matching… and edge extraction”",
"prioridad": 1</t>
  </si>
  <si>
    <t>Mitigar artefactos de NeRF en presencia de objetos en movimiento y luces complejas mediante variantes dinámicas y modelos de iluminación.",
"tipo": "método",
"nivel": "técnico",
"causa": "artefactos con movimiento/iluminación compleja",
"seccion_origen": "Limitations",
"literal_autor": "“NeRF can produce rendering artifacts, particularly in scenes with moving objects or complex lighting conditions”",
"prioridad": 1</t>
  </si>
  <si>
    <t>Extender validación a más clases (MEP y acabados) además de muros, pilares, vigas y losas.",
"tipo": "alcance",
"nivel": "dominio",
"causa": "clases estructurales únicamente",
"seccion_origen": "Methodology",
"literal_autor": "“We detect and evaluate four different building elements—columns, beams, slabs, and walls”",
"prioridad": 2</t>
  </si>
  <si>
    <t>Target Detection Technology of Mechanical, Electrical, and Plumbing Components Based on CV</t>
  </si>
  <si>
    <t>Guohua Wei, Ding Zhou, Xiaojun Yuan</t>
  </si>
  <si>
    <t>Applied sciences</t>
  </si>
  <si>
    <t>F-score_bordes: 0.795; precision_bordes: 0.92; recall_bordes: 0.616; </t>
  </si>
  <si>
    <t>BIM,  Vision Computacional y deep learning (SAM, DiffusionEdge, SfM/Colmap)</t>
  </si>
  <si>
    <t>Diseño experimental: 6 modelos BIM de componentes MEP (p. ej., PVC, codos, tees, reductores, bridas, sifones), desplegados en escenarios de construcción controlados; captura de fotografías en obra y generación de proyecciones BIM alineadas; segmentación de ambas fuentes y evaluación con métricas de bordes y matching de formas.                                                                                                  El artículo presenta un flujo automatizado y reproducible para control de calidad/avance de instalaciones MEP que integra proyección BIM, segmentación DL y comparación geométrica, alcanzando exactitud del 95.4% para identificar inconsistencias y mejor F-score de bordes que métodos comparados, lo que lo posiciona como una solución sólida para QA/QC en obra con BIM integrado</t>
  </si>
  <si>
    <t>La metodología integra visión computacional, aprendizaje profundo y comparación geométrica en un pipeline cohesivo. Las tecnologías específicas incluyen: (1) Proyección BIM: utiliza matrices de parámetros intrínsecos y extrínsecos de cámara (obtenidas mediante Structure-from-Motion) para proyectar modelos 3D de BIM en imágenes 2D de obras; (2) Segmentación: emplea Segment Anything Model (SAM) para extraer máscaras de tuberías y componentes MEP de imágenes reales y proyectadas; (3) Extracción de contornos: aplica DiffusionEdge (modelo basado en difusión) con filtrado adaptativo FFT para mejorar claridad de bordes; (4) Comparación: utiliza momentos de Hu invariantes para cuantificar diferencias geométricas entre contornos. El nivel de integración es alto porque todas las etapas operan en un flujo automatizado continuo, desde captura de imágenes hasta análisis de desviaciones, sin intervención manual.</t>
  </si>
  <si>
    <t>La metodología se aplica específicamente al proceso de instalación de sistemas MEP, particularmente tuberías y componentes de plomería. Los componentes abordados incluyen tuberías PVC, codos, tés de drenaje, reductores concéntricos, conexiones de brida y trampas tipo P, representativos de sistemas de plomería y drenaje. La metodología está diseñada para monitorear la fase de ejecución/construcción de estas instalaciones, comparando en tiempo real el estado actual de tuberías instaladas contra los planos de diseño BIM para detectar desviaciones en posicionamiento, orientación o dimensiones.</t>
  </si>
  <si>
    <t>La metodología automatiza completamente el ciclo de control de avance: (1) Captura: adquisición automática de imágenes fotográficas de obra y proyecciones BIM; (2) Procesamiento: segmentación automática de tuberías/componentes mediante SAM y extracción de contornos refinados con DiffusionEdge, eliminando ruido mediante filtrado espectral adaptativo FFT; (3) Comparación: alineación automática de máscaras de segmentación, extracción de características geométricas (orientación, dimensiones, posición) y cálculo de diferencias usando momentos de Hu invariantes para comparar formas; (4) Reporte: generación automática de diagramas visuales de comparación que superponen y destacan desviaciones espaciales, permitiendo identificación rápida de no conformidades. El sistema logró 95.4% de precisión en detección de inconsistencias, demostrando automatización robusta del ciclo completo sin intervención manual.</t>
  </si>
  <si>
    <t>Validar el pipeline en múltiples obras reales con oclusiones, variaciones de iluminación y desalineaciones de cámara para evaluar robustez.",
"tipo": "validación",
"nivel": "sistémico",
"causa": "entorno controlado",
"seccion_origen": "Discussion",
"literal_autor": "“accuracy of BIM projection and SAM-based segmentation is highly contingent on input image quality, making the system susceptible to occlusions, lighting variations, and camera misalignment.”",
"prioridad": 1</t>
  </si>
  <si>
    <t>Publicar dataset y protocolos de evaluación para replicabilidad y comparación con baselines fuertes.",
"tipo": "reproducibilidad",
"nivel": "sistémico",
"causa": "datos no disponibles",
"seccion_origen": "Conclusions",
"literal_autor": "“Data Availability Statement: The original contributions presented in the study are included in the article, further inquiries can be directed to the corresponding author.”",
"prioridad": 1</t>
  </si>
  <si>
    <t>Ampliar el alcance más allá de tuberías para incluir HVAC, conductos eléctricos y otros componentes MEP.",
"tipo": "alcance",
"nivel": "dominio",
"causa": "foco en tuberías",
"seccion_origen": "Discussion",
"literal_autor": "“the narrow scope of application, as this study focuses primarily on pipeline monitoring.”",
"prioridad": 2
},</t>
  </si>
  <si>
    <t>Evaluar generalización en conjuntos externos con distintas normativas y configuraciones MEP.",
"tipo": "validación",
"nivel": "dominio",
"causa": "muestra limitada",
"seccion_origen": "Results",
"literal_autor": "“evaluated through… six BIMs and real-world construction scenarios… approximately 1000 pipe contours from a total of 250 images.”",
"prioridad": 1</t>
  </si>
  <si>
    <t>Integrated Sequential As-Built and As-Planned Representation with D4AR Tools in Support of Decision-Making Tasks in the AEC/FM Industry</t>
  </si>
  <si>
    <t>Golparvar-Fard, M., Peña-Mora, F., &amp; Savarese, S.</t>
  </si>
  <si>
    <t>Journal of Construction Engineering and Management</t>
  </si>
  <si>
    <t>recall_registro_imágenes: 100%    error_registro_mm: 0.20–0.73</t>
  </si>
  <si>
    <t>BIM; Visión computacional (SfM, SIFT, RANSAC, Bundle Adjustment, ICP, nube de puntos); Fotogrametría (imágenes del sitio); AR/Visualización 4D (D4AR)</t>
  </si>
  <si>
    <t>D4AR viewer (C++/DirectX9), IFCEngine.dll </t>
  </si>
  <si>
    <t>Validación: siete subconjuntos de fotos de dos obras (Ikenberry Residence Hall, Student Dining), con 52–288 imágenes por subconjunto, capturas en distintas condiciones de iluminación y resolución reducida sintéticamente para probar robustez.</t>
  </si>
  <si>
    <t>La metodología D4AR integra un conjunto altamente acoplado de tecnologías. En el nivel de captura, utiliza fotografías digitales de resolución variable (desde 2-10 megapíxeles) capturadas casualmente por el personal de obra. El procesamiento automático emplea visión computacional basada en SIFT (Scale-Invariant Feature Transform) para detección robusta de características invariantes a escala, iluminación y rotación. El core de reconstrucción utiliza Structure from Motion (SfM) con bundle adjustment para obtener la geometría 3D a partir de múltiples vistas. La integración temporal se logra mediante Iterative Closest Point (ICP) con escala para registrar automáticamente nubes de puntos de diferentes días. Finalmente, la integración con el modelo planeado requiere BIM (Building Information Model) en formato IFC (Industry Foundation Class) y entornos de realidad aumentada 4D (D4AR) para visualización interactiva. El nivel de integración es muy alto: el sistema automatiza completamente el ciclo desde captura hasta visualización, requiriendo intervención manual solo en la selección de puntos de control para registrar el modelo as-built sobre el BIM (semiautomático en este paso).</t>
  </si>
  <si>
    <t>La metodología D4AR fue validada en dos proyectos de construcción comercial: un edificio residencial de hormigón (Ikenberry Residence Hall) de cuatro pisos y un proyecto de comedor de estudiantes con estructura de acero y hormigón (Student Dining). Los datos experimentales abarcan fases específicas: fundación (excavación, formación y colocación de muros base), estructura (colocación de columnas, vigas de acero y hormigonado de diafragmas), y revestimientos interiores. El enfoque demuestra aplicabilidad a cualquier fase constructiva siempre que exista captura fotográfica sistemática; las pruebas incluyeron condiciones interiores y exteriores, bajo diferentes condiciones de iluminación (soleado, nublado, lluvia). Los experimentos validaron 7 conjuntos de imágenes con entre 52 y 288 fotografías capturadas casualmente durante actividades constructivas diarias.</t>
  </si>
  <si>
    <t xml:space="preserve">La metodología D4AR automatiza completamente el ciclo mediante cuatro módulos integrados: (1) Captura: fotografías diarias desordenadas tomadas por personal de obra, sin requisitos de calibración previa. (2) Procesamiento: análisis automático de imágenes con extracción de características SIFT, coincidencia de características entre pares de imágenes usando RANSAC para eliminar falsas correspondencias, SfM incremental para estimar poses de cámaras y reconstruir geometría 3D en forma de nube de puntos densa, con optimización mediante bundle adjustment. (3) Comparación: registro automático de nubes de puntos diarias mediante ICP+escala para crear modelos 4D as-built; registro semiautomático sobre modelos BIM 4D (formato IFC) mediante selección de puntos de control correspondientes en ambos espacios de coordenadas, aplicando transformación de rotación, traslación y escala. (4) Reporte: visualización integrada en entorno D4AR (realidad aumentada 4D) que permite navegación interactiva geoespacial y cronológica, comparación visual en tiempo real de as-built vs as-planned, texturización de imágenes georregistradas, y codificación cromática de desviaciones (adelanto/retraso/en programa), facilitando comunicación remota y toma de decisiones. El sistema implementado en C++ con bibliotecas de visión (SIFT de Lowe, bundle adjustment disperso de Lourakis-Argyros) demuestra recall superior a 95% y tiempos computacionales prácticos (1-24 horas por conjunto de 100-300 fotografías).​
</t>
  </si>
  <si>
    <t>Evaluar la generalización del método en más obras, especialmente interiores y condiciones de iluminación desafiantes.",
"tipo": "validación",
"nivel": "sistémico",
"causa": "escasos casos interiores",
"seccion_origen": "Future Work",
"literal_autor": "“more case studies... especially indoors, need to be conducted to further study applicability”",
"prioridad": 1</t>
  </si>
  <si>
    <t>educir el crecimiento exponencial del tiempo de cómputo por emparejamiento par-a-par mediante agrupación por GPS y paralelización.",
"tipo": "método",
"nivel": "técnico",
"causa": "tiempo de cómputo alto",
"seccion_origen": "Future Work",
"literal_autor": "“computation time grows exponentially... use GPS... and parallel-distributed matching and reconstruction”",
"prioridad": 1</t>
  </si>
  <si>
    <t>Cuantificar la precisión total incluyendo error imagen↔nube del SfM, no solo la orientación absoluta basada en puntos de control.",
"tipo": "evaluación",
"nivel": "técnico",
"causa": "métricas limitadas",
"seccion_origen": "Results and Validation",
"literal_autor": "“does not account for the inherent registration inaccuracies between the SfM point-cloud model and the images”",
"prioridad": 1</t>
  </si>
  <si>
    <t>Evaluar robustez frente a condiciones de iluminación variables y baja textura para mantener el recall de registro.",
"tipo": "validación",
"nivel": "técnico",
"causa": "sensibilidad a iluminación",
"seccion_origen": "Results and Validation",
"literal_autor": "recall cae a 0.41 bajo iluminación temporal interior",
"prioridad": 1</t>
  </si>
  <si>
    <t>Towards Automated Measurement of As-Built Components Using Computer Vision</t>
  </si>
  <si>
    <t>Husein Perez y Joseph H. M. Tah</t>
  </si>
  <si>
    <t>Sensors</t>
  </si>
  <si>
    <t>error_area_columna: 7.022%; error_area_muro: 8.947%</t>
  </si>
  <si>
    <t>Computacional Vision (CNN), Machine Learning, Cámara estéreo, Estimación de profundidad monocular, Triangulación, Segmentación por instancias, Geometría (Teorema de Green)</t>
  </si>
  <si>
    <t>Calibración de cámara (Zhang), Rectificación estéreo, Target de color, Python/Detectron</t>
  </si>
  <si>
    <t>Dos experimentos en edificio del campus de Oxford Brookes usando cámara estéreo (baseline 25 cm), un target circular rojo para disparidad, estimación de mapa de profundidad denso monocular CNN escalado a profundidad absoluta por triangulación, segmentación por instancias de muros/columnas y cálculo de área por teorema de Green; comparación con áreas reales conocidas</t>
  </si>
  <si>
    <t>La metodología integra un sistema holístico de tres tecnologías principales: (1) captura con sistema de cámara estéreo calibrada (baseline de 25 cm) para obtención de datos de profundidad mediante triangulación; (2) procesamiento con redes neuronales convolucionales (CNN) para segmentación de instancias y detección de objetos concretos (muros y columnas); y (3) estimación geométrica mediante el Teorema de Green para cálculo de áreas. El nivel de integración es completo y secuencial: los parámetros de profundidad (Z) del sistema estéreo se combinan con mapas de profundidad densos basados en CNN para generar coordenadas del mundo real, que luego se procesan con la máscara de segmentación para estimar áreas. La novedad radica en usar una única imagen y un único marcador objetivo (disco rojo), elimando las limitaciones de escaneo láser 3D o fotogrametría tradicional que requieren múltiples posiciones.</t>
  </si>
  <si>
    <t>La metodología se aplicó y validó específicamente en componentes de hormigón: columnas y muros. En los experimentos reportados, se midieron una columna de concreto (270 cm altura × 50 cm ancho = 2.70 m² en dos caras; resultado: 2.5104 m² con error de 7.022%) y una sección de muro de concreto (130 cm × 80 cm + 170 cm × 100 cm + 30 cm × 300 cm = 3.64 m²; resultado: 3.3143 m² con error de 8.947%).</t>
  </si>
  <si>
    <t>El pipeline automatiza cuatro componentes integrados del ciclo: (1) Captura: sistema estéreo con calibración (Zhang's method), captura mono-frame más marcador rojo como referencia, rectificación de imágenes. (2) Procesamiento: cálculo de disparidad estéreo y profundidad (Z) mediante triangulación; generación de mapa de profundidad denso con CNN (monocular depth estimation); escalado de profundidad relativa a absoluta usando la distancia al marcador objetivo mediante ecuación S=Zxt,yt/R xt,yt; segmentación de instancias con red neuronal pre-entrenada en imágenes de muros y columnas. (3) Medición: conversión de coordenadas píxel a coordenadas del mundo real usando matriz de cámara (ecuaciones 5-6); cálculo de área mediante Teorema de Green aplicado al contorno del objeto. (4) Reporte: visualización de salidas en formato texto o gráfico (imágenes etiquetadas, reconstrucciones 3D) fácilmente integrables con modelos BIM. El documento destaca que es la primera implementación que aborda los cuatro estadios juntos en tiempo real, superando estudios previos que se enfocaban solo en etapas aisladas.</t>
  </si>
  <si>
    <t>Aplicado y probado en elementos construidos dentro de un campus universitario… se pretende ampliar este trabajo y examinar la viabilidad, la escalabilidad y la practicidad… en obras de construcción reales.</t>
  </si>
  <si>
    <t>Probar robustez en condiciones de obra adversas (iluminación variable, polvo, movimiento, vibración) y con diferentes distancias/ángulos.",
"tipo": "validación",
"nivel": "dominio",
"causa": "entorno controlado",
"seccion_origen": "Limitations/Conclusions",
"literal_autor": "Las pruebas fueron en campus con escenas controladas; se propone examinar factibilidad y escala en obra real.",
"prioridad": 1</t>
  </si>
  <si>
    <t>Cuantificar y mitigar errores de calibración, disparidad y segmentación con análisis de sensibilidad y propagación de errores.",
"tipo": "evaluación",
"nivel": "técnico",
"causa": "fuentes de error múltiples",
"seccion_origen": "Limitations",
"literal_autor": "“Limitations… error source comes from the camera calibration… calculating the disparity… poorly generated mask… absolute depths… very hard to train.”",
"prioridad": 1</t>
  </si>
  <si>
    <t>Abordar oclusiones y caras no visibles con reconstrucción multi-vista o inferencia 3D para evitar subestimación de área.",
"tipo": "método",
"nivel": "técnico",
"causa": "cara lateral no detectada",
"seccion_origen": "Results",
"literal_autor": "“The side face in this reconstruction is undetected; therefore, it is hard to estimate its contribution to the total estimated area.”",
"prioridad": 1</t>
  </si>
  <si>
    <t>Robot-Assisted Object Detection for Construction Automation: Data and Information-Driven Approach</t>
  </si>
  <si>
    <t>Muhammad Ilyas; Hui Ying Khaw; Nithish Muthuchamy Selvaraj; Yuxin Jin; Xinge Zhao; Chien Chern Cheah</t>
  </si>
  <si>
    <t>IEEE/ASME TRANSACTIONS ON MECHATRONICS</t>
  </si>
  <si>
    <t xml:space="preserve"> mAP75=74.13% en instalacion de elementos                                  mAP50=47.57% en deteccion de materiales                 </t>
  </si>
  <si>
    <t>BIM; Visión computacional (YOLOv3); Sensores y fusión (LiDAR 3D, RGB-D, cámara PTZ, GPS, IMU, encoders); Robótica móvil y ROS (Robot Scout, ROS move_base, Jetson AGX Xavier, Gazebo sim)</t>
  </si>
  <si>
    <t>Validación en sitio de construcción PPVC (prefabricated prefinished volumetric construction) en Singapur. Sistema integra BIM para navegación autónoma, detección de objetos instalados, materiales y defectos. Limitación: experimentos con robot solo en laboratorio debido restricciones COVID-19; onfsite tests planeados como trabajo futuro.</t>
  </si>
  <si>
    <t>La metodología integra múltiples tecnologías en un sistema cohesionado: plataforma móvil robótica Scout (con motores brushless), sensores de percepción (LIDAR 3D RoboSense RS-LiDAR-16, cámara PTZ IP, sensores ultrasónicos, GPS, IMU, encoders de ruedas), procesamiento onboard mediante Nvidia Jetson AGX Xavier, algoritmos de visión profunda basados en YOLOv3 (red neuronal convolucional de 53 capas), información del modelo BIM 3D/2D, y algoritmos de filtrado basado en información (false detection filtering usando geometría y semántica del BIM). El nivel de integración es muy alto: los datos de sensores (LIDAR, cámara) se fusionan en tiempo real con información previa del BIM para navegación autónoma y validación de detecciones, generando un sistema informado por datos y restricciones geométricas.</t>
  </si>
  <si>
    <t>La metodología se aplica específicamente a sitios de construcción modular prefabricada prefinished volumétrica (PPVC), enfocándose en inspección en progreso (in-progress inspection) durante construcción. Aborda procesos de inspección de instalación de componentes (puertas, ventanas, componentes eléctricos, módulos PPVC), detección de materiales de construcción (bloques, paneles 2D, tuberías PVC, cables, cemento), inspección de brechas de módulos entre conexiones, detección de defectos (grietas en paredes, daños en azulejos, desalineaciones) y monitoreo de seguridad de equipos de protección personal (EPI).</t>
  </si>
  <si>
    <t>El enfoque utiliza cuatro componentes integrados para automatizar el ciclo completo: (1) Captura: sensores embarcados en el robot (LIDAR, cámara PTZ, ultrasónicos) recopilan datos continuamente desde el sitio. (2) Procesamiento: detector YOLOv3 entrenado con &gt;5000 imágenes del sitio real genera detecciones de componentes, materiales y defectos; seis modelos independientes se pueden combinar según tarea. (3) Comparación: filtrado basado en información BIM valida detecciones localizando objetos en marcos BIM mediante transformaciones homogéneas y comparando geometría/ubicación/orientación contra información previa, eliminando falsas detecciones mediante IoU (Intersection over Union). (4) Reporte: genera checklist automático actualizado con estado de inspección, localización en coordinadas BIM (error promedio ≤5.3 cm), y reportes de defectos localizados; sistema también genera navegación autónoma a través de puntos de vista optimizados (GPs) basados en BIM para máxima cobertura de objetos.</t>
  </si>
  <si>
    <t>Validar el sistema RAOD con navegación y detección autónoma en obra real multiunidad y multiambiente PPVC.",
"tipo": "validación",
"nivel": "sistémico",
"causa": "experimentos de robot en laboratorio",
"seccion_origen": "Conclusiones",
"literal_autor": "“debido a restricciones de la pandemia... los experimentos usando el sistema móvil se realizaron en laboratorio... se planean pruebas onsite para validar navegación multiunit multiroom”",
"prioridad": 1</t>
  </si>
  <si>
    <t>Ampliar y balancear el dataset de materiales para mejorar desempeño del detector en clases con alta variabilidad.",
"tipo": "datos",
"nivel": "dominio",
"causa": "bajo mAP en materiales",
"seccion_origen": "Resultados y Discusión",
"literal_autor": "“47.57% para material detection... 152 imágenes de prueba”",
"prioridad": 1</t>
  </si>
  <si>
    <t>Incorporar materiales y defectos en el BIM o una base semántica para habilitar filtrado BIM también en estas clases.",
"tipo": "integración",
"nivel": "técnico",
"causa": "BIM sin información de materiales/defectos",
"seccion_origen": "Resultados y Discusión",
"literal_autor": "“el BIM no tiene información de materiales y defectos... se utiliza sensor fusion para localizarlos”",
"prioridad": 2</t>
  </si>
  <si>
    <t>valuar el método en múltiples sitios y fases de obra para medir generalización más allá de PPVC residencial.",
"tipo": "validación",
"nivel": "sistémico",
"causa": "alcance restringido a PPVC",
"seccion_origen": "Conclusiones",
"literal_autor": "“el sistema es desplegado en sitio PPVC... puede extenderse a multifloor y entre indoor/outdoor”",
"prioridad": 2
},</t>
  </si>
  <si>
    <t>Digital technologies for monitoring hazardous area entry in construction sites</t>
  </si>
  <si>
    <t>S.V.-T. Tran; Hai Chien Pham; Quang Tuan Le; Ung-Kyun Lee</t>
  </si>
  <si>
    <t>Revision Sistematica</t>
  </si>
  <si>
    <t>Visión computacional (YOLOv8, YOLOv5, YOLOv4-EFNB0, Mask R-CNN, Faster R-CNN, CenterNet, FairMOT, DeepSORT, ConvLSTM, LSTM, MOIBA), estimacion de pose de camara (VideoPose3D, OnePose), AI Deep Learning</t>
  </si>
  <si>
    <t>IoT (UWB, BLE, RFID, ZigBee, Acoustic sensing, GPS, IMU, CSS, Wi-Fi), AVM multi-cámara, CCTV, UAV, RTLS, BIM</t>
  </si>
  <si>
    <t>Revisión sistemática de 81 artículos con ejemplos de campo y laboratorio; métricas reportadas incluyen precisión, mAP y FPS; enfoque integra CV e IoT para intrusión en zonas peligrosas en obra.</t>
  </si>
  <si>
    <t>Este documento no aborda automatización del control de avance de construcción. El artículo revisa tecnologías para monitoreo de seguridad: visión computacional (37% de estudios analizados) con algoritmos YOLO, Mask R-CNN, y DeepSORT para detección de trabajadores y equipos; IoT (42% de estudios) con sensores UWB, RFID, BLE para detección de proximidad; y soluciones integradas (21%) combinando CV-IoT-BIM para alertas en tiempo real cuando trabajadores ingresan a zonas peligrosas. Las aplicaciones incluyen detección de comportamientos inseguros, monitoreo de EPP, y prevención de colisiones, pero no seguimiento de progreso constructivo ni comparaciones as-built/as-planned.</t>
  </si>
  <si>
    <t>Este documento no aborda automatización del control de avance de construcción. Los escenarios analizados son de seguridad laboral: intrusión de personal en áreas estáticas peligrosas (aberturas de piso sin protección, zanjas, bordes desprotegidos), intrusión en áreas dinámicas (zonas de operación de grúas, excavadoras, equipos móviles), y superposición de múltiples equipos operados. Se mencionan fases como excavación, operaciones de grúa torre, fundaciones, y construcción de carreteras, pero únicamente desde perspectiva de prevención de accidentes struck-by y caídas desde altura, no desde monitoreo de avance físico.Digital-technologies-for-monitoring-hazardous-area-entry-in.pdf​</t>
  </si>
  <si>
    <t>Este documento no aborda automatización del control de avance de construcción. Los componentes metodológicos revisados son para monitoreo de seguridad: captura mediante cámaras CCTV/UAV/smartphones y sensores IoT para tracking de posición; procesamiento mediante algoritmos de detección de objetos (YOLOv5/v7/v8 con precisiones 80-96%) y análisis de proximidad mediante trilateración UWB; comparación de posiciones actuales contra cercas virtuales/perímetros de seguridad definidos en BIM; y reporte de alertas/alarmas en tiempo real a trabajadores y supervisores cuando se detectan violaciones de límites o riesgos de colisión. No incluyen cuantificación de elementos completados, cálculo de porcentajes de avance, ni actualización de cronogramas.</t>
  </si>
  <si>
    <t>Egocentric-video-based construction quality supervision (EgoConQS): Application of automatic key activity queries</t>
  </si>
  <si>
    <t>Jingjing Guo; Lu Deng; Pengkun Liu; Tao Sun</t>
  </si>
  <si>
    <t>Complementario: seguridad</t>
  </si>
  <si>
    <t>Recall promedio: 35.85%; mAP: 6.07%</t>
  </si>
  <si>
    <t>Visión computacional (Temporal action detection, Video self-stitching graph network (VSGN), Graph Pyramid Network (GPN), SlowFast (pre-extracted features))</t>
  </si>
  <si>
    <t>Egocentric video (GoPro Hero Black 7/8), Wearable cameras, Non-Maximum Suppression (NMS), Ubuntu 20.04, NVIDIA A100 GPU</t>
  </si>
  <si>
    <t>Evaluación empírica con datos reales de obra a partir de Ego4D; validación en tareas de albañilería con consultas de actividades clave; disponible en línea el 18 de diciembre de 2024; el estudio reporta limitaciones por inestabilidad de la cámara y oclusiones</t>
  </si>
  <si>
    <t>Este documento no aborda automatización del control de avance de construcción. EgoConQS utiliza tecnologías de visión computacional aplicadas a videos egocéntricos capturados desde la perspectiva del trabajador mediante cámaras corporales tipo GoPro Hero Black 7 y 8. La arquitectura tecnológica integra redes neuronales convolucionales de grafos dinámicos (Dynamic Graph Convolutional Neural Networks) con el modelo Video Self-Stitching Graph Network (VSGN) para detección temporal de acciones. El framework emplea aprendizaje profundo mediante SlowFast Networks pre-entrenadas en Kinetics400 para extracción de características de video (2304 dimensiones a 1.87 características/segundo), y utiliza una Graph Pyramid Network multi-nivel con módulos de localización y puntuación para identificar actividades críticas de calidad.Egocentric-video-based-construction-quality-supervision-EgoConQS.pdf​</t>
  </si>
  <si>
    <t>Este documento no aborda automatización del control de avance de construcción. EgoConQS se aplica específicamente a trabajos de mampostería (masonry works) durante la fase de ejecución constructiva. Las actividades monitoreadas incluyen: preparación y aplicación de cemento/concreto/mortero, alisado de superficies de piso con llana, nivelación de superficies, enyesado de muros, medición de muros/techos/pisos, operación de equipos de nivelación laser, excavación manual de suelo, compactación de suelo, y manejo de materiales y herramientas de construcción. El framework se validó empíricamente con 283 videos del dataset Ego4D conteniendo 124.54 horas de actividades de construcción real, identificando 13 categorías de actividades relevantes para supervisión de calidad en mampostería según estándares GB 50203-2011.</t>
  </si>
  <si>
    <t xml:space="preserve">Este documento no aborda automatización del control de avance de construcción. EgoConQS implementa componentes metodológicos orientados exclusivamente a supervisión de calidad constructiva mediante: Captura de video egocéntrico continuo desde cámaras corporales montadas en trabajadores durante tareas constructivas. Procesamiento mediante extracción de características con SlowFast Networks, análisis temporal a través de Graph Pyramid Network multi-nivel (5 niveles: 232, 116, 58, 29, 14 frames), segmentación temporal con módulos de localización de fronteras (boundary adjustment) y clasificación mediante puntuación de startness/endness para delimitar ventanas temporales de actividades. Detección y consulta de actividades clave mediante key activity queries que permiten recuperar instancias temporales de 13 categorías de actividades críticas para calidad (existencia de actividad particular, secuencia espacial, duración, y configuraciones no-geométricas), alcanzando 35.85% de recall promedio y 6.07% mAP en localización temporal. Documentación y reporte automatizado de actividades detectadas con timestamps precisos que permiten a supervisores revisar rápidamente frames críticos para verificación de cumplimiento de estándares de calidad, facilitando intervenciones tempranas y trazabilidad transparente del desempeño de trabajadores.​
</t>
  </si>
  <si>
    <t>Matching design-intent planar, curved, and linear structural instances in point clouds</t>
  </si>
  <si>
    <t>Zhiqi Hu; Ioannis Brilakis</t>
  </si>
  <si>
    <t>Complementario: Matching</t>
  </si>
  <si>
    <t>BIM, Visión computacional (PROSAC para detección/ajuste de formas; DBSCAN para clustering; segmentación de instancias punto‑a‑punto).</t>
  </si>
  <si>
    <t>Herramientas y librerías (PCL — Point Cloud Library; IfcOpenShell).</t>
  </si>
  <si>
    <t>La validación se realizó en cinco datasets reales: TUB2 (edificio en Technische Universität Braunschweig, Alemania), UVigo (Universidad de Vigo, España), GM (Grainger Museum, edificio no‑Manhattan), CEB (Civil Engineering Building de la University of Cambridge, Reino Unido) y ConSLAM (obra en Whiteley’s building, Londres)</t>
  </si>
  <si>
    <t>Este documento no aborda automatización del control de avance de construcción. Sin embargo, menciona tecnologías Scan-vs-BIM que incluyen escáneres láser terrestres (FARO Focus 3D X330) y móviles (Zeb-Revo, Velodyne VLP-16), modelos IFC as-designed, algoritmos PROSAC para detección de formas primitivas, clustering DBSCAN, y procesamiento con Point Cloud Library (PCL) e IfcOpenShell.</t>
  </si>
  <si>
    <t>Este documento no aborda automatización del control de avance de construcción. El enfoque se limita a la fase de construcción de elementos estructurales (muros planos, muros curvos, losas, columnas y vigas) sin especificar estados de avance temporal o secuencias constructivas, centrándose en validación geométrica en diferentes timestamps durante construcción.</t>
  </si>
  <si>
    <t>Este documento no aborda automatización del control de avance de construcción. La metodología se limita a segmentación geométrica sin componentes de control de avance: no hay captura orientada a estados as-built progresivos, el procesamiento es solo segmentación sin comparación as-built/as-planned para detección de desviaciones o cálculo de completitud, y no existe reporte de progreso ni actualización de cronogramas.Matching-design-intent-planar-curved-and-linear-structural-instances-in.pdf​</t>
  </si>
  <si>
    <t>Transformer language model for mapping construction schedule activities to Uniformat categories</t>
  </si>
  <si>
    <t>Yoonhwa Jung; Julia Hockenmaier; Mani Golparvar-Fard</t>
  </si>
  <si>
    <t>Complementario: Insumos</t>
  </si>
  <si>
    <t xml:space="preserve">Nivel 2 = 94.0          Nivel 3 = 87.0             </t>
  </si>
  <si>
    <t xml:space="preserve">Nivel 2 = 96.0          Nivel 3 = 87.0             </t>
  </si>
  <si>
    <t xml:space="preserve">Nivel 2 = 93.0          Nivel 3 = 87.0             </t>
  </si>
  <si>
    <t>En el artículo, “niveles” se refieren a la jerarquía de UniFormat II usada para clasificar actividades: Level 2 es más grueso (22 clases), y Level 3 es más fino (≈50 clases) anidado bajo Level 2, por lo que L3 exige distinguir subtipos específicos dentro de cada clase L2.</t>
  </si>
  <si>
    <t>deep learning (Transformer/BERT (UniformatBridge); tokens especiales [pred]/[succ]; clasificación jerárquica coarse-to-fine), machine learning (NLP (fine-tuning de BERT); modelado de secuencia constructiva; mapeo automático a UniFormat II)</t>
  </si>
  <si>
    <t>BIM (4D BIM, mapeo UniFormat), Uniformat II, MasterFormat (CBS/WBS), GPU (Tesla T4)</t>
  </si>
  <si>
    <t>Validación con diez cronogramas maestros comerciales reales y etiquetas ground-truth Uniformat II L2/L3.</t>
  </si>
  <si>
    <t>Este documento no aborda automatización del control de avance de construcción. La metodología UniformatBridge utiliza BERT (Bidirectional Encoder Representations from Transformers), un modelo de lenguaje preentrenado con arquitectura transformer, adaptado mediante tokens especiales [pred] y [succ] para capturar lógica de secuenciamiento de cronogramas. Emplea fine-tuning sobre 35,998 tuplas de actividades etiquetadas manualmente de diez proyectos comerciales, logrando F1-scores de 0.93 y 0.87 para clasificación Uniformat Nivel 2 y 3 respectivamente. Se integra con BIM mediante propiedades incorporadas (códigos Uniformat, ubicaciones, descripciones de objetos) para mapeo automatizado entre actividades de cronograma y elementos 3D.</t>
  </si>
  <si>
    <t>Este documento no aborda automatización del control de avance de construcción. El dataset de validación incluye cronogramas maestros de diez edificios comerciales con distribución de actividades según Uniformat Nivel 1: Subestructura, Superestructura, Interiores, Servicios (HVAC, plomería, eléctrico, protección contra incendios, transporte vertical), Equipamiento y Mobiliario, Construcción Especial y Demolición, y Obras de Sitio. Las categorías Nivel 2 y 3 abarcan actividades específicas como fundaciones, excavación de sótanos, construcción de losas y techos, muros exteriores, terminaciones interiores, escaleras, instalaciones MEP, y trabajos de sitio (preparación, mejoramiento, utilidades</t>
  </si>
  <si>
    <t>Este documento no aborda automatización del control de avance de construcción. UniformatBridge automatiza la clasificación de actividades de cronograma mediante NLP, no el ciclo de control de avance. Los componentes son: preparación de datos (etiquetado manual de 35,998 tuplas actividad-predecesor-sucesor con categorías Uniformat); tokenización y embeddings contextuales mediante BERT con tokens especiales para precedencia; clasificación jerárquica mediante capas fully-connected con enfoque coarse-to-fine para niveles Uniformat 1-2-3; y mapeo automatizado con elementos BIM mediante código Uniformat y ubicación. El documento menciona potencial integración futura con segmentación semántica por visión computacional para vincular estado actual de obra con cronograma y CBS, pero no detalla implementación.</t>
  </si>
  <si>
    <t>3D reconstruction of a concrete mixer truck for training object detectors</t>
  </si>
  <si>
    <t>Hongjo Kim; Hyoungkwan Kim</t>
  </si>
  <si>
    <t>Complementario: insumos</t>
  </si>
  <si>
    <t>Las métricas reportadas evalúan el desempeño de detectores de objetos mediante precisión, exhaustividad (recall), y precisión promedio (AP)</t>
  </si>
  <si>
    <t>Visión computacional (Structure from Motion (SfM), SIFT, Poisson surface reconstruction), Machine learning(HOG, SVM), Deep learning (R-FCN)</t>
  </si>
  <si>
    <t>VisualSfM, UAV, ImageNet</t>
  </si>
  <si>
    <t>Validación en imágenes reales de ImageNet con 90 pruebas para HOG y 527 para R-FCN. Captura con UAV y reconstrucción 3D de un camión hormigonero, autores en Yonsei University, Seúl. Limitación: vistas y texturas limitadas en los sintéticos afectan detección                                                                                                                                                                               las métricas de desempeño del detector (precisión, recall, AP) se usan explícitamente para verificar si entrenar con las imágenes sintéticas generadas a partir de la reconstrucción 3D mejora o permite detectar correctamente camiones hormigoneros en imágenes reales.</t>
  </si>
  <si>
    <t>Este documento no aborda automatización del control de avance de construcción. La metodología utiliza UAV (vehículo aéreo no tripulado) rotatorio para captura de video (8033 frames de 3840×2160), visión computacional mediante algoritmos Structure from Motion (SfM) con descriptores SIFT (Scale-Invariant Feature Transform) para extracción de características, y reconstrucción 3D mediante Poisson surface reconstruction para generar modelos de malla. Implementa detector de objetos basado en HOG (Histogram of Oriented Gradients) refinado con SVM (Support Vector Machine), aplicado sobre datos sintéticos generados del modelo 3D reconstruido, logrando precisión de 77.27% y recall de 75.56% usando solo 4 imágenes sintéticas de entrenamiento.3D-reconstruction-of-a-concrete-mixer-truck-for-training-object-detectors.pdf​</t>
  </si>
  <si>
    <t>Este documento no aborda automatización del control de avance de construcción. El estudio menciona aplicaciones generales de visión computacional en construcción como gestión de seguridad (detección de uso de cascos, análisis biomecánico, evaluación de riesgos espaciales), análisis de productividad (estimación de ciclos de carga, tiempo de inactividad de excavadoras, seguimiento de interacciones entre equipos), y monitoreo de progreso (clasificación de materiales, actualización de modelos 4D CAD, comparación de modelos BIM con nubes de puntos), pero sin desarrollar metodologías específicas para ninguna de estas aplicaciones.</t>
  </si>
  <si>
    <t>Este documento no aborda automatización del control de avance de construcción. La metodología propuesta se enfoca exclusivamente en generación de datos de entrenamiento sintéticos: Adquisición de video con UAV capturando objeto target en todas direcciones, filtrado de frames borrosos mediante métrica de blur basada en diferencias de intensidad de píxeles vecinos con comparación de blurriness relativa usando media móvil (243 frames seleccionados de 8033), reconstrucción de nube de puntos 3D mediante SfM con extracción SIFT, estimación de matriz fundamental por RANSAC, y ajuste bundle adjustment, y generación de superficie de malla mediante algoritmo Poisson surface reconstruction seguido de proyección 2D del modelo 3D en múltiples ángulos y distancias para crear imágenes sintéticas de entrenamiento.</t>
  </si>
  <si>
    <t>Evolution of close-range detection and data acquisition technologies for construction progress monitoring</t>
  </si>
  <si>
    <t>Wesam Salah Alaloul; Abdul Hannan Qureshi; Muhammad Ali Musarat; Syed Saad</t>
  </si>
  <si>
    <t>Journal of Building Engineering</t>
  </si>
  <si>
    <t>BIM, Visión computacional, Fotogrametría, Escaneo láser, Videogrametría, RFID, UWB, Sensores Kinect, Termografía infrarroja, AR, ML";"GIS, GPS, Código de barras, Nodos enjambre, UAV, Python, MATLAB, VisualSFM, Agisoft Photoscan, PMVS, CMVS, Navisworks, Revit, Pix4D";22</t>
  </si>
  <si>
    <t>Artículo de revisión mixto (bibliométrico + sistemático) sin validación experimental propia ni métricas de desempeño reportadas. Enfoque en edificios y tecnologías de adquisición cercana, con integración BIM destacada. Afiliación: Universiti Teknologi PETRONAS, Malasia</t>
  </si>
  <si>
    <t>Este documento revisor identifica nueve tecnologías de corto alcance para captura de datos: laser scanner, fotogrametría, videogrametría, RFID, UWB, sensores Kinect, termografía infrarroja, nodos swarm y realidad aumentada (AR). El estudio documenta que BIM es la técnica más adoptada (35.1% de publicaciones), seguida de visión computacional (32.2%) y machine learning (19.5%). La revisión evidencia fuerte integración entre BIM y tecnologías de captura como laser scanning, fotogrametría y AR, destacando enfoques como Scan-to-BIM y Scan-vs-BIM para comparación de modelos as-built con as-planned.</t>
  </si>
  <si>
    <t>El documento revisa que la mayoría de estudios se enfocaron en estructuras de hormigón armado (22.4% del total), seguido por componentes interiores (17.6%). Otras áreas revisadas incluyen: elementos de hormigón (losas, columnas, vigas, muros), estructuras de acero, encofrados, enfierradura, componentes MEP, albañilería, revestimientos exteriores, baldosas, y clasificación de materiales de construcción. El análisis bibliométrico identificó que las tecnologías se aplican a diferentes fases según características ambientales y limitaciones del elemento constructivo específico.</t>
  </si>
  <si>
    <t xml:space="preserve">Este documento revisor NO detalla componentes metodológicos de enfoques específicos, sino que sintetiza patrones generales observados en la literatura. Identifica que la captura de datos se realiza mediante imágenes digitales, videos (CCTV, UAVs) o escaneo 3D; el procesamiento emplea algoritmos de CV y ML (SVM, ANN, RANSAC, SfM, MVS); la comparación se ejecuta principalmente mediante superposición de modelos as-built con BIM 4D usando bandas de color para mostrar desviaciones; y el reporte se genera integrando actualizaciones automáticas de cronogramas en plataformas BIM. El documento concluye que persisten brechas en automatización completa del ciclo, especialmente en comparación as-built/as-planned que requiere inputs manuales significativos.​
</t>
  </si>
  <si>
    <t>Combining inverse photogrammetry and BIM for automated labeling of construction site images</t>
  </si>
  <si>
    <t>Alex Braun, André Borrmann</t>
  </si>
  <si>
    <t xml:space="preserve">Overlap pixel-wise=91.7% (85–97%), Se calcula la proporción de solapamiento entre el área etiquetada automáticamente y el área etiquetada manualmente </t>
  </si>
  <si>
    <t xml:space="preserve">BIM, Visión computacional y Deep learning (CNN, Mask R-CNN), Vision Computacional ( Fotogrametría, SfM) </t>
  </si>
  <si>
    <t>Imágenes adquiridas con cámaras convencionales y/o UAV</t>
  </si>
  <si>
    <t>Validación en múltiples obras reales en Alemania; etiquetas para columnas, muros, encofrados, losas, techos y escaleras; enfoque automatiza etiquetado para entrenar redes y apoya monitoreo de progreso con un rango consistente entre 85% y 97% sobre una muestra de 1,000 elementos validados manualmente.                                                                         Total: 32,787 elementos de construcción etiquetados automáticamente en 1,300 imágenes provenientes de múltiples obras reales.</t>
  </si>
  <si>
    <t>La metodología combina fotogrametría, modelos BIM 4D, redes neuronales convolucionales (CNN) y técnicas de visión computacional con un alto nivel de integración. La fotogrametría se utiliza para capturar imágenes desde múltiples puntos de vista (mediante UAVs o cámaras portátiles) y generar nubes de puntos 3D mediante métodos de Structure-from-Motion (SfM) y reconstrucción densa. Los modelos BIM 4D proporcionan información semántica y cronológica de los elementos constructivos, permitiendo identificar qué elementos deberían estar construidos en cada observación temporal. La integración se logra mediante la alineación del modelo BIM con las nubes de puntos fotogramétricas y la proyección inversa de elementos BIM sobre las imágenes originales utilizando matrices de cámara intrínsecas y extrínsecas. Las CNN (como Mask R-CNN) se entrenan con las imágenes automáticamente etiquetadas para detección de objetos basada en imagen, aunque este componente queda como trabajo futuro.</t>
  </si>
  <si>
    <t>La metodología se aplicó a proyectos de construcción de concreto in-situ en fase estructural, específicamente en obras ubicadas en Alemania. Los elementos constructivos monitoreados incluyen muros, columnas, losas, escaleras, techos, y elementos temporales como encofrados y andamios. Los estudios de caso abarcaron múltiples observaciones en diferentes intervalos temporales durante la construcción, capturando el avance de elementos estructurales en diferentes pisos. El enfoque es aplicable a fases donde los elementos son visibles desde múltiples puntos de vista exteriores, aunque reconoce limitaciones para monitoreo interior durante construcción.</t>
  </si>
  <si>
    <t>Captura: Imágenes adquiridas mediante UAVs o cámaras estándar desde múltiples puntos de vista alrededor del sitio, capturando el estado de construcción en intervalos regulares. Procesamiento: Generación de nubes de puntos 3D mediante fotogrametría (SfM y reconstrucción densa), estimación de poses de cámara, y alineación/registro de la nube de puntos con el modelo BIM mediante técnicas de co-registro. Comparación: Comparación as-planned vs. as-built a nivel de elemento individual, proyectando elementos BIM sobre las imágenes utilizando transformaciones geométricas (matrices de cámara K, rotación R, traslación T), aplicando algoritmos de renderizado (Painter's algorithm) para determinar visibilidad, y validando presencia mediante comparación de nubes de puntos con geometría BIM. Reporte: Generación automática de etiquetas en formato COCO para entrenamiento de redes neuronales, visualización del estado de detección de elementos (detectado/no detectado) integrada con información de procesos y cronogramas en la herramienta progressTrack, y división de datos etiquetados en conjuntos de entrenamiento, validación y prueba.</t>
  </si>
  <si>
    <t>Potential of big visual data and building information modeling for</t>
  </si>
  <si>
    <t>Kevin K. Han; Mani Golparvar-Fard</t>
  </si>
  <si>
    <t>Estudio Exploratorio</t>
  </si>
  <si>
    <t>"BIM, SfM (Structure-from-Motion), Point cloud, Image-to-BIM alignment (PnP), 4D BIM</t>
  </si>
  <si>
    <t>UAV, UGV, Time-lapse cameras, Mobile AR, Web-based 4D visualization</t>
  </si>
  <si>
    <t>Estudio exploratorio con casos en estadio, residencia universitaria y hotel; enfoque en recolección masiva de datos visuales y alineación con BIM; sin métricas cuantitativas de desempeño reportadas.</t>
  </si>
  <si>
    <t>Este documento no aborda automatización del control de avance de construcción. Sin embargo, discute tecnologías potenciales para captura de datos visuales en construcción: cámaras time-lapse fijas, UAVs y UGVs equipados con cámaras, smartphones, tablets, cámaras de acción montables, escaneo láser, y BIM nD (modelos 3D enriquecidos con información de tiempo, costo, seguridad, productividad). También menciona técnicas de visión computacional como Structure-from-Motion (SfM), SLAM, detección de características SIFT, calibración de cámaras, PnP (Perspective-n-Point), y machine learning para reconocimiento de objetos. El nivel de integración no se especifica, pues el artículo caracteriza brechas y desafíos técnicos sin proponer una metodología integrada.Potential-of-big-visual-data-and-building-information-modeling-for.pdf​</t>
  </si>
  <si>
    <t>Este documento no aborda automatización del control de avance de construcción. Sin embargo, los casos de estudio mencionados (estadio, residencia universitaria, hotel) capturan fases de construcción de estructura, sistemas MEP (Mechanical/Electrical/Plumbing), fachadas y sistemas de revestimiento. Se discute monitoreo de progreso general mediante comparación visual de estado as-built vs as-planned (nubes de puntos vs 4D BIM), sin especificar procesos constructivos detallados ni fases de obra concretas.</t>
  </si>
  <si>
    <t>Este documento no aborda automatización del control de avance de construcción. No obstante, presenta componentes técnicos discutidos en casos exploratorios: Captura mediante UAVs, UGVs, cámaras time-lapse, smartphones (cientos de miles de imágenes). Procesamiento incluye reconstrucción 3D mediante SfM, calibración de cámaras, alineación imagen-BIM (manual mediante selección de correspondencias 2D-3D, o semi-automática con GPS/GCPs), detección de características, y segmentación de elementos BIM. Comparación visual as-built vs as-planned mediante superposición de nubes de puntos con BIM 4D, rendering de BIM sobre imágenes time-lapse, y comparación geométrica punto-modelo. Reporte mediante visualización web 3D/4D, anotaciones sobre imágenes localizadas, color-coding de elementos BIM por estado de progreso y desviaciones, y navegación temporal 4D de fotologs. Estos componentes no están integrados en un framework metodológico validado sino presentados como técnicas y desafíos de investigación abiertos.</t>
  </si>
  <si>
    <t>Automating Scan to BIM Operations Using Grasshopper</t>
  </si>
  <si>
    <t>Ifra Aftab; Kristóf Kapitány; Tamás Lovas</t>
  </si>
  <si>
    <t>Periodica Polytechnica Civil Engineering</t>
  </si>
  <si>
    <t xml:space="preserve">BIM, Visión computacional, </t>
  </si>
  <si>
    <t>Rhinoceros (Rhino), Grasshopper, Plugin Volvox, Autodesk Recap, Captura con escáner láser terrestre FARO, datos LiDAR, Formato .e57, Formato .rcp</t>
  </si>
  <si>
    <t>Trabajo propone flujo automatizado para preparar nubes de puntos y generar perfiles en BIM con Grasshopper y Volvox, sin métricas cuantitativas reportadas. Caso con FARO TLS en edificio pequeño con 9 estaciones en Budapest University of Technology and Economics (Hungría). Objetivo es reducir labor manual en Scan-to-BIM mediante secciones automáticas, subsampling y mallas de vóxeles.</t>
  </si>
  <si>
    <t>Este documento no aborda automatización del control de avance de construcción. La metodología propuesta utiliza escaneo láser terrestre (FARO 3D Scanner TLS) para captura de datos as-built, procesados mediante Rhinoceros 3D y Grasshopper con el plugin Volvox para manipulación de nubes de puntos. El flujo integra Autodesk Recap para conversión de formatos (.txt a .rcp/.las/.e57) y exportación a Autodesk Revit para modelado BIM. Las tecnologías se combinan mediante programación visual paramétrica, aplicando técnicas de muestreo voxel, triangulación Delaunay y creación de mallas cúbicas.</t>
  </si>
  <si>
    <t>Este documento no aborda automatización del control de avance de construcción. La metodología se aplica a la documentación digital de edificios existentes y activos patrimoniales/arquitectónicos, sin enfocarse en fases constructivas. Aunque menciona aplicaciones potenciales para "monitoreo de progreso de construcción mediante levantamientos UAV regulares", el estudio se limita a desarrollar el flujo de procesamiento de nubes de puntos para generación de modelos as-built, perfiles automáticos y documentación de ingeniería.</t>
  </si>
  <si>
    <t>Este documento no aborda automatización del control de avance de construcción. Los componentes metodológicos desarrollados son: (1) Captura de datos mediante TLS en formato .e57 con coordenadas XYZ globales y modelo RGB; (2) Preprocesamiento con conversión de formatos (.txt a .rcp) e importación a Grasshopper vía Volvox; (3) Procesamiento mediante submuestreo voxel, creación de secciones con planos ajustables, generación de mallas cúbicas y triangulación Delaunay; (4) Suavizado de mallas con algoritmo Laplaciano; (5) Generación de productos derivados como perfiles automáticos horizontales/verticales para documentación de ingeniería y exportación a Revit.</t>
  </si>
  <si>
    <t>Drivers for Digital Twin Adoption in the Construction Industry</t>
  </si>
  <si>
    <t>De-Graft Joe Opoku; Srinath Perera; Robert Osei-Kyei; Maria Rashidi</t>
  </si>
  <si>
    <t>Digital twin, BIM, AI, IoT, Machine Learning, Data analytics, Wireless sensor networks</t>
  </si>
  <si>
    <t>Revisión sistemática que identifica 50 drivers y propone un marco conceptual de adopción en cuatro categorías; no reporta experimentos ni métricas cuantitativas de validación; países más activos: Reino Unido, Estados Unidos, Australia, Italia.</t>
  </si>
  <si>
    <t>Este documento no aborda automatización del control de avance de construcción. Las tecnologías mencionadas incluyen Building Information Modeling (BIM), Internet of Things (IoT), Inteligencia Artificial (AI), Machine Learning, Data Analytics, Deep Learning, Wireless Sensor Networks (WSN), tecnologías de análisis predictivo, Cyber-Physical Systems (CPS), blockchain, y redes de sensores. El documento discute que los Digital Twins integran múltiples fuentes de datos en tiempo real para crear modelos de simulación que aprenden y actualizan predicciones sobre condiciones actuales y futuras de sus contrapartes físicas, diferenciándose de BIM por operar con datos dinámicos en lugar de estáticos.</t>
  </si>
  <si>
    <t>Este documento no aborda automatización del control de avance de construcción. El documento analiza aplicaciones de Digital Twins a lo largo del ciclo de vida completo de proyectos de construcción: planificación y diseño, construcción y comisionamiento, utilización y mantenimiento (facilities management), y desmantelamiento/restauración. La revisión indica que la mayoría de aplicaciones de Digital Twins se concentran en la fase de operación y mantenimiento de proyectos, con énfasis en gestión de instalaciones, monitoreo de activos, gestión energética, mantenimiento predictivo, y monitoreo ambiental.</t>
  </si>
  <si>
    <t xml:space="preserve">Este documento no aborda automatización del control de avance de construcción. Los componentes identificados en la revisión incluyen: visualización de datos en tiempo real (mencionada en 18 de 58 estudios), optimización de procesos constructivos, toma de decisiones mejorada, monitoreo continuo de activos, gestión de riesgos de seguridad, monitoreo ambiental mejorado, gestión energética mejorada, y mantenimiento predictivo. Aunque menciona que Digital Twins pueden proporcionar información precisa y proactiva sobre el estado de proyectos y facilitar simulaciones what-if para optimización, el documento no desarrolla ciclos metodológicos específicos de captura-procesamiento-comparación-reporte orientados a control de avance de construcción.​
</t>
  </si>
  <si>
    <t>Mapping Two Decades of AI in Construction Research: A Scientometric Analysis from the Sustainability and Construction Phases Lenses</t>
  </si>
  <si>
    <t>Massimo Regona; Tan Yigitcanlar; Carol K. H. Hon; Melissa Teo</t>
  </si>
  <si>
    <t>Revision scientométrico</t>
  </si>
  <si>
    <t>Machine learning, Deep learning, Big data</t>
  </si>
  <si>
    <t>BIM (Building Information Modeling), Internet of Things (IoT), Digital Twin, Robotics, Simulation, Decision-Support Systems, VOSviewer</t>
  </si>
  <si>
    <t>Artículo scientométrico sin validación experimental ni métricas de desempeño; publicado el 15 de septiembre de 2023 por MDPI en Buildings; afiliaciones en Queensland University of Technology, Brisbane, Australia.</t>
  </si>
  <si>
    <t>Este documento no aborda automatización del control de avance de construcción.
El análisis identifica siete clústeres tecnológicos en investigación IA-construcción: automation (tareas repetitivas/seguridad), machine learning (predicción/identificación riesgos), deep learning (redes neuronales para análisis datos), big data (análisis volúmenes grandes datos), digital twin (réplica virtual activos), information systems (gestión/procesamiento datos proyecto), simulation (modelado materiales/procesos). Menciona un trabajo altamente citado de Golparvar-Fard et al. (2011) sobre monitoreo automatizado de progreso usando fotografías y BIM con técnicas structure-from-motion, multiview stereo y machine learning, pero no analiza su metodología ni integración.</t>
  </si>
  <si>
    <t>Este documento no aborda automatización del control de avance de construcción.
El análisis categorizó publicaciones en cuatro fases (planificación 23.6%, diseño 31.3%, construcción 36.8%, operación/mantenimiento 8.3%), identificando que fases de diseño y construcción demuestran mayor adopción de IA. En fase construcción, machine learning, robotics, automation y big data emergen como clústeres predominantes para scheduling, estimación costos, control calidad, seguridad, pero sin especificar aplicaciones concretas a control de avance as-built.</t>
  </si>
  <si>
    <t>Este documento no aborda automatización del control de avance de construcción.
El estudio es un metaanálisis que identifica tendencias de investigación mediante análisis bibliométrico, sin describir componentes metodológicos de implementación. Revela crecimiento exponencial de publicaciones IA-construcción (2000-2023), predominancia de machine learning como tecnología habilitadora, y evolución histórica desde automation/information systems (2000-2005) hacia deep learning/big data (2018-2023), pero no detalla frameworks, algoritmos ni procesos operativos para control de avance.</t>
  </si>
  <si>
    <t>Digitization of AEC Industries Based on BIM</t>
  </si>
  <si>
    <t>Karol Zawada; Kinga Rybak-Niedziółka; Mikołaj Donderewicz; Agnieszka Starzyk</t>
  </si>
  <si>
    <t>BIM, AI, Big Data, Data Science, VR, AR, VDC, CDE, ISO 19650</t>
  </si>
  <si>
    <t>Autodesk Revit, Tekla Structures, Archicad, Nemetschek Allplan, Navisworks, Solibri, BIMCollab Zoom, Dalux Viewer, BIMSync, BIM Vision, Trimble Connect, Autodesk Civil 3D, Autodesk Viewer, Quadri, Advance Steel, Scia Engineer, Allplan, iConstruct, SimpleBIM, Trimble Novapoint, ArCADia BIM Intersoft, Bentley OpenRoads</t>
  </si>
  <si>
    <t>Estudio de encuesta en Polonia con 124 participantes sobre adopción BIM y tecnologías 4.0; resultados en gráficos sin métricas de desempeño de automatización/visión; enfoque en políticas, ISO 19650 y estado de digitalización AEC.</t>
  </si>
  <si>
    <t>Este documento no aborda automatización del control de avance de construcción. Las tecnologías mencionadas son conceptuales: BIM (software Revit, Tekla, Archicad, Allplan), estándar ISO 19650, CDE (common data environment), VR/AR para visualización inmersiva, VDC (virtual design and construction), AI para análisis predictivo de cronogramas/costos/calidad, big data y data science para análisis de patrones en modelos BIM. Se menciona herramientas emergentes (Bimify, Propagate de Bricsys) para generación semi-automática de modelos 3D desde nubes de puntos, pero sin detallar implementación para monitoreo de progreso constructivo.</t>
  </si>
  <si>
    <t xml:space="preserve">Este documento no aborda automatización del control de avance de construcción. El enfoque es transversal al ciclo de vida (diseño, construcción, operación, demolición) sin especificar fases constructivas. Se menciona casos de estudio de proyectos (Hinkley Point C Nuclear Power Plant UK, Kennedy Airport terminal NY, Central Communication Port Polonia, Randselva Bridge Noruega) donde se implementó BIM nivel 0-3, pero sin detallar metodologías de monitoreo de avance durante ejecución de obra.​
</t>
  </si>
  <si>
    <t>Este documento no aborda automatización del control de avance de construcción. Los componentes metodológicos presentados son: (1) definición de niveles LOD (100-500) para progresión de detalle geométrico e informacional en modelos BIM; (2) gestión de metadata en CDE con trazabilidad de auditoría ISO 19650; (3) frameworks conceptuales para integración futura BIM-AI (análisis de redes neuronales para patrones en datos BIM, generación de planos constructivos con AI); (4) metodología de encuesta (análisis factorial, revisión de literatura, experiencia profesional); (5) estrategia organizacional de implementación BIM (establecimiento de estándares, capacitación, soporte tecnológico, pilotos, evaluación continua). No se describen componentes técnicos de captura as-built, procesamiento de datos de campo, comparación geométrica/temporal, o sistemas automatizados de reporte de progreso.</t>
  </si>
  <si>
    <t>BIM framework for efficient material procurement planning</t>
  </si>
  <si>
    <t>Mohammadreza Kalantari; Hosein Taghaddos; Mohammadhossein Heydari</t>
  </si>
  <si>
    <t>0.18 m3</t>
  </si>
  <si>
    <t>0.12 m3</t>
  </si>
  <si>
    <t>Error absoluto medio de volúmenes entre el framework y Tekla, reportado como 0.12 m3; indica, en promedio, cuánto difiere cada volumen estimado del “valor de referencia” de Tekla para validar el cómputo de cantidades extraídas desde IFC                                                                           RMSE: raíz del error cuadrático medio de volúmenes, reportado como 0.18 m3; penaliza más los errores grandes y resume la dispersión de los errores de volumen frente a Tekla</t>
  </si>
  <si>
    <t>BIM (IFC), Optimización (Particle Swarm Optimization PSO, Genetic Algorithm GA)</t>
  </si>
  <si>
    <t>Validación en caso real (estructura de acero, Jorramshahr, Irán, 2021). Limitación: solo escenarios base/simultáneo por almacenamiento. Precisión reportada solo en cantidades extraídas BIM.</t>
  </si>
  <si>
    <t>Este documento no aborda automatización del control de avance de construcción. La metodología utiliza Building Information Modeling (BIM) integrado con Industry Foundation Classes (IFC) estándar abierto para extracción automatizada de datos paramétricos (cantidades de materiales, especificaciones, costos, ubicaciones de elementos) desde modelos 3D. El sistema emplea biblioteca Python IfcOpenShell para parsing de archivos IFC2x3, Database Management System (DBMS) en Microsoft Access para almacenamiento de datos de usuario (restricciones financieras, dimensiones de almacén, información de proveedores, cronogramas de zonas constructivas), y algoritmos de optimización metaheurísticos (Particle Swarm Optimization y Genetic Algorithm) implementados en Python para optimización de flujos de caja de adquisiciones. Los resultados optimizados se integran de vuelta en archivos IFC mediante entidades IfcTask, IfcScheduleTimeControl e IfcRelsequence, generando modelos 4D visualizables en software Bentley Synchro 4D Pro.</t>
  </si>
  <si>
    <t>Este documento no aborda automatización del control de avance de construcción. La metodología se aplica a planificación de adquisiciones durante la fase de construcción de proyectos de edificación (residencial, comercial, industrial) con potencial expansión a infraestructura. El caso de estudio validó el framework en construcción de estructura metálica (1050 toneladas de acero ST37 con perfiles I, H, L, U y placas de 5-35mm) dividida en 42 zonas constructivas con interdependencias tipo Finish-to-Start (FS), Start-to-Start (SS), Finish-to-Finish (FF) y Start-to-Finish (SF). El sistema optimiza fechas de inicio de zonas constructivas considerando duraciones de actividades (12-15 días por zona en ejemplos), holguras totales (8-16 días), ventanas temporales de ejecución, y restricciones de precedencia para coordinar pedidos de materiales, gestión de inventario en sitio, y pagos según disponibilidad de capital.</t>
  </si>
  <si>
    <t>Este documento no aborda automatización del control de avance de construcción. Sin embargo, la metodología implementa un ciclo automatizado para planificación de adquisiciones que incluye: (1) Captura automatizada de información paramétrica mediante extracción IFC (volúmenes, pesos, materiales, perfiles, coordenadas bounding box de elementos con precisión 0.00001 m³) usando Python IfcOpenShell, complementada con entrada manual de usuario en base de datos Access (restricciones financieras, dimensiones de almacén, costos unitarios, tasas de inflación diaria, plazos de entrega materiales); (2) Procesamiento mediante modelo de optimización bi-nivel que ejecuta iterativamente PSO/GA para determinar fechas óptimas de inicio de zonas constructivas (primer nivel con 50-100 iteraciones) y cantidades de pedidos diarios de materiales con métodos de pago efectivo/cuotas (segundo nivel con 350-1000 iteraciones), considerando restricciones de dependencias temporales, disponibilidad de materiales, limitaciones de espacio de almacenamiento (algoritmo Unit Box layout para calcular áreas requeridas), y restricciones de capital financiero; (3) Comparación de escenarios de adquisición mediante evaluación de función objetivo que minimiza Valor Futuro (FV) de costos de compra, transporte, almacenamiento y penalizaciones por retrasos, considerando tasas de inflación específicas por material (fm) y global (OFR); y (4) Reporte mediante almacenamiento de resultados en base de datos Access (fechas inicio zonas, plan de pedidos optimizado efectivo/cuotas, capital financiero diario, costos diarios de compra/transporte/almacenamiento) y generación automatizada de modelos 4D en formato IFC con entidades IfcTask/IfcScheduleTimeControl visualizables en Bentley Synchro 4D Pro para coordinación de stakeholders de cadena de suministro</t>
  </si>
  <si>
    <t>Automated vision-based construction progress monitoring in built environment through digital twin</t>
  </si>
  <si>
    <t>Aritra Pal; Jacob J. Lin; Shang-Hsien Hsieh; Mani Golparvar-Fard</t>
  </si>
  <si>
    <t>Developments in the Built Environment</t>
  </si>
  <si>
    <t>Estudio revisorio</t>
  </si>
  <si>
    <t>Digital Twin (DTC), Computer Vision, BIM, Deep Learning (DL), SLAM, Photogrametría (SfM/MVS)</t>
  </si>
  <si>
    <t>AR/MR/XR, UAV/Drones, LiDAR/TLS, RFID, UWB, IMU, GPS, Wi‑Fi/5G, Cloud/Edge Computing, Dashboards (Power BI)</t>
  </si>
  <si>
    <t xml:space="preserve">Artículo de revisión y marco conceptual, no reporta experimentos con métricas cuantitativas propias. Enfocado en integrar CV con Digital Twin para control cerrado PDCA. Afiliaciones: NTU (Taiwán) y UIUC (EE.UU.).                                                                                                                                                   </t>
  </si>
  <si>
    <t>Dado que este es un documento exploratorio/revisor, no propone una metodología específica, pero discute los siguientes aspectos relacionados:                                                                                          El documento revisa teóricamente tecnologías utilizadas en métodos automatizados de CPM basados en visión, incluyendo BIM 4D/5D, fotogrametría (Structure-from-Motion, Multiview Stereo), escaneo láser (Terrestrial Laser Scanning TLS, LiDAR móvil), SLAM (Simultaneous Localization and Mapping), UAVs (drones), robots terrestres, dispositivos Mixed Reality (Microsoft HoloLens), cámaras RGB-D, sensores RFID, UWB, IMU, GPS. En procesamiento, menciona deep learning (Faster R-CNN, YOLO, Mask R-CNN, PointNet, PointNet++, Dynamic Graph CNN), Machine Learning (SVM, clasificación de materiales), Natural Language Processing (LSTM, Transformer para analítica de cronogramas), técnicas de registro automático (ICP, PCA, detección de planos/esquinas), y Extended Reality (AR, VR, MR) para visualización. El nivel de integración discutido es principalmente teórico, señalando que componentes individuales han alcanzado automatización, pero la integración automática para formar control de ciclo cerrado está limitada por desafíos de transmisión/integración de datos y falta de plataformas unificadas.</t>
  </si>
  <si>
    <t>Dado que este es un documento exploratorio/revisor, no propone una metodología específica, pero discute los siguientes aspectos relacionados:                        El artículo de investigación analiza varias tecnologías digitales utilizadas para automatizar el monitoreo del progreso de la construcción (CPM), haciendo especial hincapié en las técnicas basadas en la visión. Estas incluyen la identificación por radiofrecuencia (RFID), la banda ultraancha (UWB), los códigos de barras, las imágenes digitales, el escaneo láser y la fotogrametría, todas ellas relevantes para automatizar los procesos de CPM en proyectos de construcción e infraestructura 
Destaca que, con la creciente disponibilidad de macrodatos visuales (imágenes, vídeos, nubes de puntos) y las tecnologías avanzadas de visión artificial para el análisis de datos visuales, las técnicas basadas en la visión se han convertido en el enfoque más rentable y eficiente para el CPM automatizado 
El documento también menciona el uso de técnicas de detección del progreso basadas en la ocupación y la apariencia, incluido el aprendizaje automático (ML) para la clasificación de materiales de construcción, que son fundamentales para la automatización de los procesos de construcción 
Esta información coincide con el enfoque de la tesis del usuario sobre la integración de la visión artificial con el BIM para mejorar la gestión de los proyectos de construcción.</t>
  </si>
  <si>
    <t>Dado que este es un documento exploratorio/revisor, no propone una metodología específica, pero discute los siguientes aspectos relacionados:
El framework DTC propuesto conceptualmente organiza componentes en tres capas sin implementación práctica:​
Captura (Digital representation and data integration): Discute reality modeling mediante fotografías time-lapse, imágenes 360°, cámaras RGB-D, TLS, LiDAR, MR devices, montadas en UAVs, robots, grúas, cascos de trabajadores; recopilación de datos de recursos mediante RFID, UWB, GPS, audio, video.​
Procesamiento: Revisa reconstrucción 3D (SfM-MVS offline vs. SLAM en tiempo real), registro as-built/as-planned (image-to-BIM, point cloud-to-BIM mediante ICP, PCA, detección de planos/esquinas, pose regression networks con deep learning), transmisión de datos (Wi-Fi, Ethernet, redes celulares, nube), integración multi-fuente (cámaras+GPS, LiDAR+imágenes, RFID+visión, sensores de proximidad/movimiento/audio).​
Comparación: Analiza métodos basados en ocupación geométrica (comparación volumétrica BIM-nube de puntos, detección de presencia/ausencia de elementos) y basados en apariencia (clasificación de materiales mediante ML/DL, segmentación semántica de imágenes con Mask R-CNN, detección de objetos con YOLO/Faster R-CNN, segmentación de nubes de puntos con PointNet). Discute métricas reactivas (EVM, PPC) y proactivas (Task Completion Risk, Task Readiness, Location Risk Index) para monitoreo predictivo.​
Reporte: Revisa visualización mediante color-coding de elementos BIM 4D (verde=on-schedule, rojo=atrasado), plataformas web, dashboards (integración BIM-Microsoft Power BI), AR/VR/MR (superposición as-built/as-planned en tiempo real, HoloLens), cyber-physical systems para visualización de ubicación, estado de avance y zonas de riesgo.​
El documento identifica que la implementación automática de medidas de control (re-secuenciamiento de tareas, reasignación de recursos, acciones correctivas) es la parte faltante en métodos estado-del-arte, requiriendo investigación futura para cerrar el ciclo de retroalimentación.</t>
  </si>
  <si>
    <t>Shape encoding for semantic healing of design models and knowledge transfer to scan-to-BIM</t>
  </si>
  <si>
    <t>Fiona C. Collins; Martin Ringsquandl; Alexander Braun; Daniel M. Hall; Andre Borrmann</t>
  </si>
  <si>
    <t>Proceedings of the Institution of Civil Engineers Smart Infrastructure and Construction</t>
  </si>
  <si>
    <t>85.0%                                 83.0%                                  77.0%                                 72.0%</t>
  </si>
  <si>
    <t xml:space="preserve">88.0%                                93.0%                          </t>
  </si>
  <si>
    <t>80.0%                                85.0%                          79.0%                                 76.0%</t>
  </si>
  <si>
    <t>mesh-to-graph (MtG)                OBA = 85.0%                            F1 = 80.0%                                  RECALL = 88.0%                              GCN MtG logra OBA 77.0% y F1 79.0%,</t>
  </si>
  <si>
    <t>k-nearest neighbors (5-NN)   OBA = 83.0%                              F1 = 85.0%                                  RECALL = 93.0%                                       5-NN GCN logra OBA 72.0% y F1 76.0%.</t>
  </si>
  <si>
    <t>BIM, Deep learning (Graph Convolutional Networks (GCN)), Machine learning (k-nearest neighbors (5-NN), t-SNE), Visión computacional (mesh-to-graph, nubes de puntos)</t>
  </si>
  <si>
    <t>La “exactitud por clase” en el artículo corresponde a la proporción de aciertos dentro de cada clase normalizada por verdaderos de esa clase, por lo que es equivalente al recall por clase en la matriz de confusión normalizada por filas de la clase verdadera.​
OBA (balanced overall test accuracy) es una accuracy balanceada: el promedio de la exactitud/recall por clase, que corrige el desbalance de clases; por eso puede interpretarse como una forma de accuracy, específicamente balanceada por clase.​
“F1 micro‑average” es el F1‑score con promedio micro; es decir, el F1 calculado agregando TP/FP/FN sobre todas las clases antes de computar la media armónica, por lo que es un F1‑score en su variante micro.</t>
  </si>
  <si>
    <t>Este documento no aborda automatización del control de avance de construcción. La metodología emplea Graph Convolutional Networks (GCN) para procesar geometría BIM triangulada, representada como grafos donde los nodos son vértices de mallas y las aristas conectividad espacial. Integra algoritmos de deep learning geométrico (PointNet, DGCNN adaptados), t-SNE para clustering de similitudes, y explainable AI mediante visualización de "critical points" que justifican clasificaciones. Opera sobre formatos IFC, procesa tanto geometría implícita (CSG, extrusiones) como explícita (boundary representations, mallas trianguladas) mediante bibliotecas PythonOCC</t>
  </si>
  <si>
    <t>Este documento no aborda automatización del control de avance de construcción. Se aplica a dos contextos: corrección semántica de modelos BIM de diseño (identificación de elementos mal clasificados o con etiquetas proxy durante fases de diseño/planificación) y clasificación post-segmentación de nubes de puntos láser (scan-to-BIM) para generación de modelos as-built de edificios existentes. No especifica fases constructivas, sino operaciones de gestión de información de modelos digitales previas o posteriores a construcción.</t>
  </si>
  <si>
    <t>Este documento no aborda automatización del control de avance de construcción. Los componentes metodológicos incluyen: ensamblaje de datasets BIMGeom e IFCNetCore con 12,046 y 7,930 geometrías únicas de 13 y 20 clases IFC respectivamente, extraídas de modelos BIM y trianguladas; preprocesamiento mediante dos codificaciones (mesh-to-graph nativo y muestreo uniforme de 1,024 puntos con k-NN graph), normalización de escala, rotaciones aleatorias en eje Z, data augmentation; arquitectura GCN de tres capas convolucionales con agregación de vecindarios, dropout 0.2, pooling global max, entrenamiento 250 épocas con learning rate 0.001, precisión balanceada 85% en BIMGeom; módulo de consistencia mediante análisis t-SNE del espacio de embeddings finales y visualización de critical points para interacción humana en casos ambiguos o geometrías proxy/low-LoD</t>
  </si>
  <si>
    <t>Investigating U.S. Industry Practitioners’ Perspectives towards the Adoption of Emerging Technologies in Industrialized Construction.</t>
  </si>
  <si>
    <t>Bing Qi; Mohamad Razkenari; Jiaxuan Li; Aaron Costin</t>
  </si>
  <si>
    <t>Estudio de encuesta a profesionales</t>
  </si>
  <si>
    <t>Tecnologías con mayor uso actual: 3D y nD (T3), sistemas de información de negocio (T1), y tecnologías de sensado (T6), Tecnologías con mayor potencial: realidad extendida (T5), manufactura aditiva (T12), analítica de datos avanzada (T9); Análisis: confiabilidad (alpha≈0.92 tecnologías; alpha≈0.90 beneficios/desafíos), rankings, Shapiro–Wilk, Kruskal–Wallis, ANOVA, análisis factorial</t>
  </si>
  <si>
    <t xml:space="preserve"> Estudio de percepción mediante encuesta a profesionales en EE. UU.; identifica tecnologías actuales y con mayor potencial, y factores de adopción; sin métricas de precisión algorítmica ni casos de obra específicos.                                                                                                                                           Principales beneficios valorados: costo, tiempo, calidad; Principales barreras: costos de capital, actualización continua de software/hardware, compatibilidad de software; Comparaciones inter-grupo: fondo de empresa con poca influencia; perfiles de carrera con influencia en varias  variables                                                                                                                                                                                                         </t>
  </si>
  <si>
    <t>Este documento no aborda automatización del control de avance de construcción. El estudio categoriza doce tipos de tecnologías emergentes mencionadas por profesionales de construcción industrializada: business information systems (ERP, GIS, PLM), sistemas de integración personalizados basados en nube, modelos 3D y nD (BIM 3D/4D/5D/6D), optimización de diseño (automated rule checking), extended reality (AR/VR/MR), tecnologías de sensado (photogrammetry, digital imaging, laser scanning, sensores de temperatura), IoT (WSN, RFID, Bluetooth), modelos de optimización y simulación, advanced data analytics (big data, artificial intelligence), digital fabrication (máquinas CNC, PLC), smart machinery (vehículos autoguiados, drones), y additive manufacturing (impresión 3D). No se detalla integración metodológica entre estas tecnologías para control de avance, solo se reportan niveles de adopción actual y expectativas futuras mediante análisis estadístico de encuestas.</t>
  </si>
  <si>
    <t>Este documento no aborda automatización del control de avance de construcción. El estudio menciona que las tecnologías emergentes se aplican a construcción industrializada que incluye cuatro niveles de prefabricación: manufactura de componentes y sub-ensamblaje, pre-ensamblaje no-volumétrico, pre-ensamblaje volumétrico, y modular. Los tipos de proyectos mencionados por encuestados incluyen comercial/institucional, multi-familiar, educación, residencial (manufactured homes). El documento referencia aplicaciones genéricas de tecnologías en fases de planificación, diseño, construcción y operación de instalaciones, pero sin especificar procesos constructivos de ejecución de obra donde se aplique monitoreo de avance (ej. no menciona movimiento de tierras, estructura, acabados con control de progreso automatizado).</t>
  </si>
  <si>
    <t>Este documento no aborda automatización del control de avance de construcción. El estudio presenta únicamente metodología de investigación cualitativa para análisis de encuestas: (1) revisión de literatura, (2) entrevistas piloto con 4 expertos, (3) diseño de encuesta online con 4 partes (introducción, información demográfica, calificación de nivel de utilización actual/futura de tecnologías en escala 1-4, calificación de impacto de beneficios/desafíos en escala 1-4), (4) distribución mediante snowball sampling a 81 profesionales en Estados Unidos, (5) análisis estadístico mediante Cronbach's alpha para confiabilidad, average score ranking, Shapiro-Wilk test para normalidad, Kruskal-Wallis test para comparación inter-grupos, y factor analysis para agrupar variables de beneficios (2 factores: project input, project output) y desafíos (3 factores: skills and attitudes, potential risks, cost and software constraints). No desarrolla componentes de captura/procesamiento/comparación/reporte para monitoreo de avance constructivo.</t>
  </si>
  <si>
    <t>Digital Twins in the Construction Industry: A Perspective of Practitioners and Building Authority</t>
  </si>
  <si>
    <t>Ashtarout Ammar; Hala Nassereddine; Nadine AbdulBaky; Anwar AbouKansour</t>
  </si>
  <si>
    <t>Frontiers in Built Environment</t>
  </si>
  <si>
    <t>Estudio cualitativo</t>
  </si>
  <si>
    <t>Digital Twin, BIM, IoT, CPS, AI, Sensors, Building Management System (BMS)</t>
  </si>
  <si>
    <t>VR, Wearable sensors, Databases, 5G, LP-WAN, WiFi, Wireless sensor networks (WSN)</t>
  </si>
  <si>
    <t>Estudio cualitativo con 9 entrevistas y un caso de autoridad edilicia en Viena (BRISE-Vienna). No reporta métricas cuantitativas ni accuracy; se centra en definiciones, aplicaciones y desafíos percibidos</t>
  </si>
  <si>
    <t>Este documento no aborda automatización del control de avance de construcción. Las tecnologías mencionadas incluyen IoT (sensores inteligentes, WiFi, WSN, 5G, LP-WAN), Building Information Modeling (BIM), Cyber-Physical Systems (CPS), Inteligencia Artificial, Big Data Analytics, cloud computing, cámaras de monitoreo, tecnologías de captura de realidad (láser scanning), tecnologías de visualización, tecnologías wearables, VIVE Trackers, realidad virtual, y machine learning. El documento discute la integración conceptual BIM-IoT mediante conexión bidireccional entre activos físicos y digitales para crear representaciones dinámicas en tiempo real a lo largo del ciclo de vida del proyecto.</t>
  </si>
  <si>
    <t>Este documento no aborda automatización del control de avance de construcción. Las aplicaciones mencionadas abarcan todo el ciclo de vida de proyectos de construcción desde planificación hasta operación y mantenimiento, con énfasis en las fases de construcción y operación. Se mencionan aplicaciones específicas como monitoreo de temperatura de concreto, movimientos de tierra (asentamientos, pilotes, desagüe), sistemas MEP (HVAC, protección contra incendios), gestión de materiales, equipos de construcción, inspecciones de sitio, y procesos de aprobación de permisos por autoridades municipales.</t>
  </si>
  <si>
    <t>Este documento no aborda automatización del control de avance de construcción. Los componentes conceptuales identificados por profesionales incluyen: recolección de datos en tiempo real mediante sensores y tecnologías IoT, análisis de datos mediante algoritmos de IA y Big Data Analytics para generar predicciones, visualización mediante superposición de modelos BIM 3D con datos en vivo, comunicación bidireccional entre entornos físicos y digitales, simulaciones what-if para optimización de decisiones, y retroalimentación automatizada a stakeholders. Una aplicación específica menciona obtener datos de progreso en tiempo real del sitio y compararlos con cronogramas y secuencias de trabajo para facilitar colaboración, pero no desarrolla metodología completa de control de avance.</t>
  </si>
  <si>
    <t>Analysis of 5D BIM for Cost Estimation, Cost Control, and Payments</t>
  </si>
  <si>
    <t>Pardis Pishdad; Ihuoma O. Onungwa</t>
  </si>
  <si>
    <t>Journal of Information Technology in Construction</t>
  </si>
  <si>
    <t>BIM (5D), Work Breakdown Structure (WBS), Cost Breakdown Structure (CBS)</t>
  </si>
  <si>
    <t>Laser scanners, Computer vision, Photogrammetry, AI (Machine learning), Smart contracts, Point cloud, Revit, Autodesk BIM 360, DESTINI Profiler, DESTINI Estimator, Assemble, RSMeans, CSI MasterFormat, OmniClass, UniFormat, Cloud BIM</t>
  </si>
  <si>
    <t>Estudio centrado en Estados Unidos con caso en educación superior de Georgia Tech; 5D usado para estimación en preconstrucción y control conceptual, sin métricas cuantitativas reportadas; Pagos y control durante construcción gestionados fuera de 5D y con Excel, sin integración con Workday</t>
  </si>
  <si>
    <t>Este documento no aborda automatización del control de avance de construcción. El estudio examina herramientas 5D BIM para gestión de costos durante preconstrucción (DESTINI Profiler, DESTINI Estimator, Autodesk BIM360, Assemble) que extraen cantidades desde modelos 3D y las vinculan a bases de datos de costos mediante sistemas de clasificación como UniFormat. Menciona tecnologías emergentes de captura de datos (escáneres láser, visión computacional, fotogrametría) e inteligencia artificial como soluciones potenciales para documentación de progreso físico en obra, pero reconoce explícitamente que estas no están integradas con sistemas 5D BIM actuales ni con procesos de pago. El caso de estudio confirma que tras establecer el GMP (Guaranteed Maximum Price), el monitoreo de costos, variaciones y pagos se realizaron manualmente sin utilizar BIM, evidenciando ausencia de integración tecnológica durante la fase constructiva.</t>
  </si>
  <si>
    <t>Este documento no aborda automatización del control de avance de construcción. El enfoque de 5D BIM analizado se aplica exclusivamente a la fase de preconstrucción: etapa conceptual (estimación paramétrica con DESTINI Profiler), diseño preliminar, desarrollo de diseño, y documentación de construcción hasta establecer el Guaranteed Maximum Price. El caso de estudio de un centro universitario ($110M, 300,000 pies cuadrados) demuestra que los consultores 5D BIM solo participaron durante preconstrucción para estimación de costos, análisis de valor ganado, visualización de presupuestos, y proyecciones de flujo de caja, pero su alcance finalizó antes de la fase constructiva. Durante construcción, el seguimiento de costos reales, control presupuestario y procesamiento de pagos se realizaron mediante métodos convencionales (Excel, revisiones manuales) sin integración con los modelos 5D BIM desarrollados previamente.</t>
  </si>
  <si>
    <t>Este documento no aborda automatización del control de avance de construcción. El workflow propuesto teóricamente sugiere: Preconstrucción: asignación de códigos de clasificación estandarizados (CSI 50-Division MasterFormat) a elementos del modelo BIM para vinculación automática con bases de datos de costos (RS Means) mediante inteligencia artificial, generación de work packages basados en WBS/CBS integrados extraídos del modelo BIM. Construcción (conceptual, no implementado): captura as-built mediante escáneres láser y fotogrametría para generar nubes de puntos, procesamiento con IA/machine learning para desarrollar modelos BIM as-built reconociendo materiales y calidad, superposición del modelo as-built sobre el modelo 5D de estimación para comparación. Pago (semi-automatizado propuesto): autorización mediante smart contracts cuando todos los atributos del modelo as-built coinciden con el modelo planificado y se cumplen condiciones de work packages. El documento reconoce explícitamente que esta automatización es actualmente "semi-automated" y que tecnologías como escáneres láser aún no pueden identificar calidad de trabajos o materiales específicos, siendo el workflow propuesto una visión conceptual sin validación práctica.</t>
  </si>
  <si>
    <t>Advancing construction site workforce safety monitoring through BIM and computer vision integration</t>
  </si>
  <si>
    <t>Almo Senja Kulinan; Minsoo Park; Pa Pa Win Aung; Gichun Cha</t>
  </si>
  <si>
    <t xml:space="preserve">mAP50: 92.3%. Es el promedio del área bajo la curva precisión–recobrado por clase, con umbral IoU ≥ 0.5 entre predicción y verdad terreno. Cuanto mayor, mejor desempeño global del detector.​
Precisión: 88.3%. Porcentaje de detecciones que realmente son correctas,  Alta precisión significa pocas falsas alarmas.​
Recobrado (Recall): 89.3%. Porcentaje de objetos reales que fueron detectados, Alto recall significa pocos omitidos.​
</t>
  </si>
  <si>
    <t>BIM (Revit), Vision computacional y deep learning (YOLOv8m, SORT, Proyección por perspectiva), Proyección por perspectiva, Evaluación de riesgo (matriz SxL)</t>
  </si>
  <si>
    <t>Dynamo (Revit), RDBMS (MySQL/PostgreSQL/SQLite), CCTV, Twinmotion (simulación), GitHub (código/datos)</t>
  </si>
  <si>
    <t>Validación con video simulado de obra y prueba de precisión de proyección en edificio de Sungkyunkwan University, Corea. Visualización 3D de riesgos en tiempo real e histórico con actualización cada 1 s. Limitaciones: oclusiones, solo coordenadas x,y; interior.</t>
  </si>
  <si>
    <t>Este documento no aborda automatización del control de avance de construcción. La metodología emplea cámaras CCTV como sensor principal, algoritmo YOLOv8m para detección de objetos (clasificación de trabajadores según EPP), algoritmo SORT para tracking, proyección perspectiva para localización 2D, bases de datos relacionales (MySQL/PostgreSQL/SQLite) para integración de datos, y BIM (Revit con Dynamo) para visualización 3D de riesgos de seguridad. El sistema integra visión computacional con BIM mediante capa intermedia de base de datos que actualiza información cada 1 segundo para monitoreo en tiempo real de condiciones de seguridad laboral.</t>
  </si>
  <si>
    <t>Este documento no aborda automatización del control de avance de construcción. El sistema propuesto se aplica a ambientes de construcción interior en fase de ejecución, específicamente para monitoreo de trabajadores en zonas con riesgo de caídas desde altura (≥1.8m), bordes abiertos o aberturas en pisos/edificios, y áreas con riesgo de electrocución o impacto por objetos. La validación se realizó en simulación de construcción del edificio Engineering 2 de la Universidad Sungkyunkwan, Corea del Sur, modelando escenarios de trabajo interior con diferentes configuraciones de riesgo.</t>
  </si>
  <si>
    <t>Este documento no aborda automatización del control de avance de construcción. Los componentes metodológicos desarrollados sirven para monitoreo de seguridad: (1) Captura: video CCTV de trabajadores en tiempo real; (2) Procesamiento: detección de trabajadores con YOLOv8m (precisión 92.3% mAP), tracking con SORT, proyección perspectiva para coordenadas 2D en BIM (error medio 13.2 cm), y clasificación en 8 categorías según EPP y ubicación; (3) Evaluación de riesgos: matriz cuantitativa que asigna severidad (1-3) y probabilidad a 5 tipos de riesgos ocupacionales (caídas, golpes, electrocución), resultando en 4 niveles de criticidad (bajo, moderado, significativo, catastrófico); (4) Reporte: visualización 3D en BIM vía Dynamo con código de colores por nivel de riesgo, información detallada de cada trabajador, y datos históricos consultables.</t>
  </si>
  <si>
    <t>A semantic framework for on-site evacuation routing based on awareness of obstacle accessibility</t>
  </si>
  <si>
    <t>Hui Deng; Mao Tian; Zhibin Ou; Yichuan Deng</t>
  </si>
  <si>
    <t>Incremento de exactitud de enrutamiento respecto a métodos tradicionales; Evita obstáculos peligrosos e inmovibles; Ruta más realista en sitio</t>
  </si>
  <si>
    <t>BIM (Revit 2017, IFC), Visión computacional (fotogrametría, SfM, SIFT, Bundle Adjustment), Semantic Web (RDF/OWL, ifcOWL)</t>
  </si>
  <si>
    <t>Delaunay triangulation, GNM (Geometric Network Model), Cámara/monitoreo en sitio</t>
  </si>
  <si>
    <t>Validación en obra real residencial/comercial en Guangzhou, China; Modelo BIM exportado a IFC y actualizado con fotogrametría; El enfoque integra BIM, CV y web semántica para rutas de evacuación en sitio.</t>
  </si>
  <si>
    <t>Este documento no aborda automatización del control de avance de construcción. La metodología utiliza BIM (Industry Foundation Classes/IFC), visión computacional mediante fotogrametría y Structure from Motion (SfM), web semántica (Resource Description Framework/RDF, OWL ontologías), y algoritmo SIFT para detección de características, integrando estas tecnologías en un framework para evacua...ción de emergencia basado en actualización de modelos BIM mediante detección de obstáculos.</t>
  </si>
  <si>
    <t>Este documento no aborda automatización del control de avance de construcción. El framework se aplica durante la fase de ejecución de construcción en general, específicamente en situaciones de emergencia que requieren evacuación de trabajadores de la obra, considerando la naturaleza dinámica de los sitios de construcción con múltiples sub-proyectos trabajando simultáneamente y presencia de obras temporales.</t>
  </si>
  <si>
    <t>Este documento no aborda automatización del control de avance de construcción. Los componentes metodológicos están orientados a evacuación: captura mediante fotogrametría de obstáculos en obra usando imágenes de monitores en tiempo real o dispositivos portátiles; procesamiento mediante web semántica que clasifica obstáculos según accesibilidad (área base, altura, peso, textura) usando ontologías RDF/OWL; actualización de Modelo de Red Geométrica (GNM) extraído de archivos IFC mediante triangulación Delaunay para generar rutas de evacuación; sin componente de comparación as-built/as-planned ni reporte de progreso constructivo.</t>
  </si>
  <si>
    <t>Computer vision-aided inspection on falling prevention measures for scaffolding work</t>
  </si>
  <si>
    <t>Qi Fanga,b , Heng Lib,⁎ , Xiaochun Luob , Lieyun Dinga , Hanbin Luoa , Chengqian Li</t>
  </si>
  <si>
    <t>Este documento no aborda automatización del control de avance de construcción. Las tecnologías mencionadas incluyen visión computacional mediante cámaras de videovigilancia interiores, redes neuronales convolucionales profundas (SSD - Single Shot Multibox Detector) para detección de objetos múltiples en tiempo real, clasificadores binarios CNN para discriminar escenarios (trabajador entrando/saliendo), algoritmos de seguimiento SORT (Simple Online and Realtime Tracking) basados en filtros de Kalman y algoritmo Húngaro para asociar objetos entre frames consecutivos, y un clasificador ASC (Aerial Scenario Calibration) basado en distribuciones de probabilidad bayesianas para reconocer configuraciones espaciales específicas entre trabajadores y ventanas.</t>
  </si>
  <si>
    <t>Este documento no aborda automatización del control de avance de construcción. La metodología se aplica a trabajos de altura en exteriores de edificios durante fases de instalación de equipamiento y decoración de fachadas, tanto en construcción nueva como renovación de edificios existentes, específicamente cuando trabajadores (steeplejacks) acceden a zonas aéreas a través de ventanas sin barreras de protección colectiva.</t>
  </si>
  <si>
    <r>
      <t>Este documento no aborda automatización del control de avance de construcción. Los componentes metodológicos están orientados a inspección de seguridad: detección y seguimiento mediante SSD de seis escenarios (trabajador con/sin casco, con/sin arnés, anclaje con/sin eslinga conectada); reconocimiento de escenario aéreo mediante cálculo de interacción espacial entre bounding boxes de trabajador y ventana usando fórmula </t>
    </r>
    <r>
      <rPr>
        <sz val="11"/>
        <color theme="1"/>
        <rFont val="Times New Roman"/>
        <family val="1"/>
      </rPr>
      <t>area(p)∩area(q)/area(p)area(</t>
    </r>
    <r>
      <rPr>
        <i/>
        <sz val="11"/>
        <color theme="1"/>
        <rFont val="KaTeX_Math"/>
      </rPr>
      <t>p</t>
    </r>
    <r>
      <rPr>
        <sz val="11"/>
        <color theme="1"/>
        <rFont val="Times New Roman"/>
        <family val="1"/>
      </rPr>
      <t>)∩area(</t>
    </r>
    <r>
      <rPr>
        <i/>
        <sz val="11"/>
        <color theme="1"/>
        <rFont val="KaTeX_Math"/>
      </rPr>
      <t>q</t>
    </r>
    <r>
      <rPr>
        <sz val="11"/>
        <color theme="1"/>
        <rFont val="Times New Roman"/>
        <family val="1"/>
      </rPr>
      <t>)/area(</t>
    </r>
    <r>
      <rPr>
        <i/>
        <sz val="11"/>
        <color theme="1"/>
        <rFont val="KaTeX_Math"/>
      </rPr>
      <t>p</t>
    </r>
    <r>
      <rPr>
        <sz val="11"/>
        <color theme="1"/>
        <rFont val="Times New Roman"/>
        <family val="1"/>
      </rPr>
      <t>)</t>
    </r>
    <r>
      <rPr>
        <sz val="11"/>
        <color theme="1"/>
        <rFont val="Segoe UI"/>
        <family val="2"/>
      </rPr>
      <t>, con clasificación ASC entrenada en seis categorías de posiciones relativas para robustez ante errores de localización y escala; eliminación de distractores mediante CNN binaria que distingue trabajadores saliendo vs. entrando por ventana; y agregación de confianzas de detección </t>
    </r>
    <r>
      <rPr>
        <sz val="11"/>
        <color theme="1"/>
        <rFont val="Times New Roman"/>
        <family val="1"/>
      </rPr>
      <t>∑Ehat+</t>
    </r>
    <r>
      <rPr>
        <sz val="11"/>
        <color theme="1"/>
        <rFont val="KaTeX_Size1"/>
      </rPr>
      <t>∑</t>
    </r>
    <r>
      <rPr>
        <i/>
        <sz val="11"/>
        <color theme="1"/>
        <rFont val="KaTeX_Math"/>
      </rPr>
      <t>Ehat</t>
    </r>
    <r>
      <rPr>
        <sz val="11"/>
        <color theme="1"/>
        <rFont val="Times New Roman"/>
        <family val="1"/>
      </rPr>
      <t>+</t>
    </r>
    <r>
      <rPr>
        <sz val="11"/>
        <color theme="1"/>
        <rFont val="Segoe UI"/>
        <family val="2"/>
      </rPr>
      <t>, </t>
    </r>
    <r>
      <rPr>
        <sz val="11"/>
        <color theme="1"/>
        <rFont val="Times New Roman"/>
        <family val="1"/>
      </rPr>
      <t>∑Eharn+</t>
    </r>
    <r>
      <rPr>
        <sz val="11"/>
        <color theme="1"/>
        <rFont val="KaTeX_Size1"/>
      </rPr>
      <t>∑</t>
    </r>
    <r>
      <rPr>
        <i/>
        <sz val="11"/>
        <color theme="1"/>
        <rFont val="KaTeX_Math"/>
      </rPr>
      <t>Eharn</t>
    </r>
    <r>
      <rPr>
        <sz val="11"/>
        <color theme="1"/>
        <rFont val="Times New Roman"/>
        <family val="1"/>
      </rPr>
      <t>+</t>
    </r>
    <r>
      <rPr>
        <sz val="11"/>
        <color theme="1"/>
        <rFont val="Segoe UI"/>
        <family val="2"/>
      </rPr>
      <t>, </t>
    </r>
    <r>
      <rPr>
        <sz val="11"/>
        <color theme="1"/>
        <rFont val="Times New Roman"/>
        <family val="1"/>
      </rPr>
      <t>∑Each+</t>
    </r>
    <r>
      <rPr>
        <sz val="11"/>
        <color theme="1"/>
        <rFont val="KaTeX_Size1"/>
      </rPr>
      <t>∑</t>
    </r>
    <r>
      <rPr>
        <i/>
        <sz val="11"/>
        <color theme="1"/>
        <rFont val="KaTeX_Math"/>
      </rPr>
      <t>Each</t>
    </r>
    <r>
      <rPr>
        <sz val="11"/>
        <color theme="1"/>
        <rFont val="Times New Roman"/>
        <family val="1"/>
      </rPr>
      <t>+</t>
    </r>
    <r>
      <rPr>
        <sz val="11"/>
        <color theme="1"/>
        <rFont val="Segoe UI"/>
        <family val="2"/>
      </rPr>
      <t> a través de múltiples key frames para mitigar oclusiones, emitiendo alerta mediante altavoz si condiciones de PPE no se cumplen.</t>
    </r>
  </si>
  <si>
    <t>Understanding Quality of Analytics Trade-offs in an End-to-end Machine Learning-based Classification System for Building Information Modeling</t>
  </si>
  <si>
    <t>Minjung Ryu, Hong-Linh Truong, Matti Kannala</t>
  </si>
  <si>
    <t>Journal of Big Data</t>
  </si>
  <si>
    <t>Este documento no aborda automatización del control de avance de construcción. El artículo utiliza técnicas de machine learning (redes neuronales convolucionales 3D VoxNet, multi-layer perceptron) para clasificar elementos BIM basándose en información geométrica (voxelización 3D), atributos numéricos (dimensiones, volumen) y atributos textuales (descripciones semánticas extraídas de archivos IFC). El sistema integra software Solibri para extracción de datos BIM, bibliotecas Python (Keras, Scikit-learn) para entrenamiento ML, y servicios cloud de AWS (S3, EC2, SQS) para almacenamiento, procesamiento y orquestación.</t>
  </si>
  <si>
    <r>
      <t>Este documento no aborda automatización del control de avance de construcción. La metodología propuesta se aplica a la </t>
    </r>
    <r>
      <rPr>
        <b/>
        <sz val="11"/>
        <color theme="1"/>
        <rFont val="Segoe UI"/>
        <family val="2"/>
      </rPr>
      <t>clasificación y organización de elementos BIM</t>
    </r>
    <r>
      <rPr>
        <sz val="11"/>
        <color theme="1"/>
        <rFont val="Segoe UI"/>
        <family val="2"/>
      </rPr>
      <t> durante todas las etapas (diseño, construcción y operación), sin enfocarse en fases constructivas específicas de avance de obra. El objetivo es mejorar la calidad de modelos BIM mediante asignación automática de categorías a elementos no clasificados o mal clasificados, facilitando análisis estructural, estimación de costos y aseguramiento de calidad en gestión de facilidades.</t>
    </r>
  </si>
  <si>
    <r>
      <t>Este documento no aborda automatización del control de avance de construcción. Los componentes metodológicos desarrollados son para un pipeline end-to-end de clasificación ML: (1) </t>
    </r>
    <r>
      <rPr>
        <b/>
        <sz val="11"/>
        <color theme="1"/>
        <rFont val="Segoe UI"/>
        <family val="2"/>
      </rPr>
      <t>Recolección de datos</t>
    </r>
    <r>
      <rPr>
        <sz val="11"/>
        <color theme="1"/>
        <rFont val="Segoe UI"/>
        <family val="2"/>
      </rPr>
      <t> desde archivos IFC/SMC extrayendo geometría 3D, atributos numéricos y textuales; (2) </t>
    </r>
    <r>
      <rPr>
        <b/>
        <sz val="11"/>
        <color theme="1"/>
        <rFont val="Segoe UI"/>
        <family val="2"/>
      </rPr>
      <t>Preprocesamiento</t>
    </r>
    <r>
      <rPr>
        <sz val="11"/>
        <color theme="1"/>
        <rFont val="Segoe UI"/>
        <family val="2"/>
      </rPr>
      <t> con limpieza de datos, conversión de unidades, estandarización numérica y tokenización textual; (3) </t>
    </r>
    <r>
      <rPr>
        <b/>
        <sz val="11"/>
        <color theme="1"/>
        <rFont val="Segoe UI"/>
        <family val="2"/>
      </rPr>
      <t>Selección de características</t>
    </r>
    <r>
      <rPr>
        <sz val="11"/>
        <color theme="1"/>
        <rFont val="Segoe UI"/>
        <family val="2"/>
      </rPr>
      <t> mediante TF-IDF y prueba Chi-cuadrado; (4) </t>
    </r>
    <r>
      <rPr>
        <b/>
        <sz val="11"/>
        <color theme="1"/>
        <rFont val="Segoe UI"/>
        <family val="2"/>
      </rPr>
      <t>Entrenamiento</t>
    </r>
    <r>
      <rPr>
        <sz val="11"/>
        <color theme="1"/>
        <rFont val="Segoe UI"/>
        <family val="2"/>
      </rPr>
      <t> con redes neuronales combinando CNN 3D y perceptrón multicapa; (5) </t>
    </r>
    <r>
      <rPr>
        <b/>
        <sz val="11"/>
        <color theme="1"/>
        <rFont val="Segoe UI"/>
        <family val="2"/>
      </rPr>
      <t>Validación</t>
    </r>
    <r>
      <rPr>
        <sz val="11"/>
        <color theme="1"/>
        <rFont val="Segoe UI"/>
        <family val="2"/>
      </rPr>
      <t> con F1-score ponderado; (6) </t>
    </r>
    <r>
      <rPr>
        <b/>
        <sz val="11"/>
        <color theme="1"/>
        <rFont val="Segoe UI"/>
        <family val="2"/>
      </rPr>
      <t>Predicción</t>
    </r>
    <r>
      <rPr>
        <sz val="11"/>
        <color theme="1"/>
        <rFont val="Segoe UI"/>
        <family val="2"/>
      </rPr>
      <t> asignando categorías a elementos no clasificados.</t>
    </r>
  </si>
  <si>
    <t>Semantic interoperability on IoT: Aligning IFC and Smart Application Reference (SAREF) sensor data models</t>
  </si>
  <si>
    <t>Ebere Donatus Okonta, Farzad Rahimian, Vladimir Vukovic, Sergio Rodriguez</t>
  </si>
  <si>
    <t>Este documento no aborda automatización del control de avance de construcción. La metodología IADOM emplea tecnologías de Web Semántica: RDF (Resource Description Framework) para representación estructurada de ontologías, OWL (Ontology Web Language) basado en Lógica Descriptiva para razonamiento automático, y el software Protégé v5.6.3 con plugin OntoGraf para visualización y modelado de jerarquías de clases de sensores. Utiliza el coeficiente SMC (similarity = conceptos coincidentes / conceptos únicos totales) para cuantificar similitud semántica entre descripciones de IFC y SAREF, estableciendo mapeos cuando similarity ≥ τ (umbral 0.5). La integración entre IFC (estándar ISO 16739-1:2018 para intercambio BIM) y SAREF (ontología respaldada por Comisión Europea para dispositivos IoT) se logra mediante alineación manual de elementos: IfcSensor (dominio IfcBuildingControlsDomain) con saref:Sensor (subclase de saref:Device), identificando correspondencias fuertes como saref:controlsProperty ↔ IfcRelAssignsToControl (score 1.0) y saref:accomplishes ↔ IfcTask (score 0.67), con validación cualitativa mediante entrevistas semiestructuradas a 4 expertos en estándares BIM e interoperabilidad IoT.</t>
  </si>
  <si>
    <r>
      <t>Este documento no aborda automatización del control de avance de construcción. Los casos de uso propuestos para la alineación IFC-SAREF se aplican a </t>
    </r>
    <r>
      <rPr>
        <b/>
        <sz val="11"/>
        <color theme="1"/>
        <rFont val="Segoe UI"/>
        <family val="2"/>
      </rPr>
      <t>gestión post-construcción y operación de edificios inteligentes</t>
    </r>
    <r>
      <rPr>
        <sz val="11"/>
        <color theme="1"/>
        <rFont val="Segoe UI"/>
        <family val="2"/>
      </rPr>
      <t>, no a fases de obra. Específicamente: (1) Sistemas de gestión de tráfico urbano inteligente, empleando sensores para flujo vehicular, densidad, detección de incidentes y control adaptativo de señales mediante mapeos saref:hasFunction ↔ IfcRelAssignsToControl y saref:accomplishes ↔ IfcTask; (2) Sistemas de gestión de edificios inteligentes (Smart Building Management System), utilizando sensores de temperatura, humedad, movimiento, luz y calidad de aire para optimización HVAC, iluminación automatizada, seguridad y monitoreo ambiental mediante alineaciones saref:hasTimestamp ↔ Pset_SensorPHistory (datos históricos), saref:hasSensorType ↔ Pset_SensorTypeCommon (clasificación de tipos), saref:hasState ↔ Pset_Condition (estado operacional) y saref:hasManufacturer ↔ Pset_ManufacturerTypeInformation (información fabricante). Ninguno de estos casos involucra control de avance físico de elementos constructivos durante ejecución de obra.</t>
    </r>
  </si>
  <si>
    <t>Este documento no aborda automatización del control de avance de construcción​. Los componentes metodológicos IADOM desarrollados sirven para alineación semántica de ontologías de sensores: (1) Preparación de ontologías: Recuperación de modelos IFC y SAREF en formato RDF desde repositorios (buildingSMART, ETSI), preprocesamiento y visualización estructural en Protégé/OntoGraf; (2) Estructuración de información: Categorización de datos de sensores en 6 elementos fundamentales (clase, propiedades, relaciones, atributos, geometría, interacciones) basada en enfoque ALLPLAN BIM, extrayendo descripciones únicas de diccionarios bSDD (buildingSMART Data Dictionary) y especificaciones ETSI; (3) Alineación ontológica: Cálculo de similitud mediante SMC entre conceptos únicos extraídos de descripciones IFC (Di={di1...din}) y SAREF (Ds={ds1...dsn}), estableciendo mapeos M={(dsx,dix) | similarity(dsx,dix) ≥ 0.5}, identificando correspondencias fuertes (score=1.0: saref:controlsProperty ↔ IfcRelAssignsToControl), moderadas (score=0.67: saref:hasProfile ↔ IfcRelDefinesByType) y débiles (score&lt;0.5: saref:makesMeasurement ↔ IfcPerformanceHistory)​; (4) Validación experta: Entrevistas semiestructuradas a 4 expertos en BIM/IoT (buildingSMART, universidades) para verificar precisión, relevancia y aplicabilidad de mapeos mediante análisis temático manual; (5) Interpretación: Análisis de patrones de alineación, identificación de conflictos (nomenclatura, estructurales tipo/dependencia/clave, conductuales estático vs dinámico), y discusión de implicaciones para integración BIM-IoT en edificios inteligentes y gemelos digitales</t>
  </si>
  <si>
    <t>REALIZAR FUNNEL PLOT SOLO PARA PRECISION, RECALL Y Map</t>
  </si>
  <si>
    <t>subcategorias (hibrida)</t>
  </si>
  <si>
    <t>deteccion y segmentacio +bim</t>
  </si>
  <si>
    <t>n</t>
  </si>
  <si>
    <t>media</t>
  </si>
  <si>
    <t>rango</t>
  </si>
  <si>
    <t>nota</t>
  </si>
  <si>
    <t>presicion</t>
  </si>
  <si>
    <t>[88.1 - 91.1]</t>
  </si>
  <si>
    <t>8, 17</t>
  </si>
  <si>
    <t>recall</t>
  </si>
  <si>
    <t>[79.0 - 93.0]</t>
  </si>
  <si>
    <t>3, 8. 17</t>
  </si>
  <si>
    <t>f1</t>
  </si>
  <si>
    <t>N/A</t>
  </si>
  <si>
    <t>mAP50</t>
  </si>
  <si>
    <t>[47.6 - 95.4]</t>
  </si>
  <si>
    <t>3, 8, 13, 17, 22</t>
  </si>
  <si>
    <t>Map75</t>
  </si>
  <si>
    <t>[74.1 - 90.9]</t>
  </si>
  <si>
    <t xml:space="preserve"> 8, 13,  22</t>
  </si>
  <si>
    <t>Map50:95</t>
  </si>
  <si>
    <t>[80.7 - 89.3]</t>
  </si>
  <si>
    <t xml:space="preserve"> 3, 13,  14, 15</t>
  </si>
  <si>
    <t xml:space="preserve">Reconstrucción geométrica + BIM </t>
  </si>
  <si>
    <t>[80.95 - 96.0]</t>
  </si>
  <si>
    <t>4, 6, 7, 16, 20</t>
  </si>
  <si>
    <t>[92.7 - 99.0]</t>
  </si>
  <si>
    <t>6,  7,  20</t>
  </si>
  <si>
    <t>[80.4- 92.0]</t>
  </si>
  <si>
    <t>7, 16</t>
  </si>
  <si>
    <t>Funsión multimodal + BIM</t>
  </si>
  <si>
    <t>[93.65 - 95.4]</t>
  </si>
  <si>
    <t>18, 19</t>
  </si>
  <si>
    <t>RELEVANCIA: Una opción solamente:
- "SÍ_Híbrido" = Combina múltiples tecnologías equivalentes en importancia 
                 (ej: BIM + CV + AR donde cada una contribuye equally)
- "SÍ_Geométrico" = Vision Computacional es CORE. Procesa información espacial/visual. 
                    Incluye: CNN, YOLO, Fotogrametría, SfM, Escaneo Láser, etc.
- "SÍ_Temporal" = Enfoque principal en cronograma/predicción temporal (LSTM, Transformer). 
                  CV puede estar presente pero es auxiliar.
- "NO" = No relevante o fuera de alcance
CRITERIO DECISIVO:
• Si solo hay CV (sea CNN, YOLO, etc.) → SÍ_Geométrico
• Si hay CV + BIM + AR (integrados) → SÍ_Híbrido
• Si hay LSTM/predicción + CV auxiliar → SÍ_Temporal
• Si hay duda, preguntarse: ¿Cuál es el eje central del método?</t>
  </si>
  <si>
    <t>Eres un asistente experto en revisión sistemática de tecnologías para automatización 
del control de avance en construcción. Tu tarea es analizar un artículo científico 
y extraer datos para completar una fila en una base de datos CSV.
DOCUMENTO A ANALIZAR:
Título: [COLOCAR TÍTULO DEL DOCUMENTO AQUÍ]
(Se proporcionará el PDF o texto del documento completo a continuación)
INSTRUCCIONES CRÍTICAS:
1. Extrae SOLO información textualmente presente en el documento
2. Si un dato no está disponible, reporta "N/A"
3. Usa separador ";" para campos en la respuesta
4. Comillas dobles para campos con múltiples valores
5. Una sola fila, columnas en orden CSV
COLUMNAS A RELLENAR (en orden):
ID | NOMBRE | AÑO | AUTOR | REVISTA | RELEVANCIA | TIENE_VALIDACIÓN | ACCURACY_% | MÉTRICAS_DETECTADAS | METRICAS_DE_IMPACTO | TECNOLOGÍAS_CORE | TECNOLOGÍAS_SUPPORT | TOTAL_MENCIONES_TECH | OBSERVACIONES
DEFINICIONES Y CRITERIOS:
AÑO: Formato YYYY. Buscar en portada o pie de página.
AUTOR: Nombres de 3-4 autores principales, separados por ";". Formato: "Nombre Apellido; Nombre Apellido"
REVISTA: Nombre completo de revista, conferencia o editorial. No abreviaturas.
RELEVANCIA: Una opción solamente:
- "SÍ_Híbrido" = Combina múltiples tecnologías equivalentes en importancia 
                 (ej: BIM + CV + AR donde cada una contribuye equally)
- "SÍ_Geométrico" = Vision Computacional es CORE. Procesa información espacial/visual. 
                    Incluye: CNN, YOLO, Fotogrametría, SfM, Escaneo Láser, etc.
- "SÍ_Temporal" = Enfoque principal en cronograma/predicción temporal (LSTM, Transformer). 
                  CV puede estar presente pero es auxiliar.
- "NO" = No relevante o fuera de alcance
CRITERIO DECISIVO:
• Si solo hay CV (sea CNN, YOLO, etc.) → SÍ_Geométrico
• Si hay CV + BIM + AR (integrados) → SÍ_Híbrido
• Si hay LSTM/predicción + CV auxiliar → SÍ_Temporal
• Si hay duda, preguntarse: ¿Cuál es el eje central del método?                                                                                                                                                                                                      
TIENE_VALIDACIÓN: "SÍ" si reporta resultados/métricas cuantitativas, "NO" si es solo teórico.
ACCURACY_%: Reportar SOLO el valor numérico y símbolo %, sin explicación. 
Formato: "95%" o "RF: 91.2%, LSTM: 94.6%, Transformer: 96.3%" si hay múltiples.
Si no hay, dejar en blanco.
MÉTRICAS_DETECTADAS: Resumen breve de TODAS las métricas reportadas.
Formato: "mAP50=93%; Precision=88.1%; Recall=79.1%; Dataset=500 imágenes; Tipo=Proyecto Real"
Si no hay, escribir "N/A"
METRICAS_DE_IMPACTO: Mejoras operacionales medidas (si aplican).
Formato: "Desv cronograma: 42% reducción; Ahorro recursos: 27%; Resp errores: 88% menor"
Si no hay, escribir "N/A"
TECNOLOGÍAS_CORE: Lista de tecnologías centrales (método principal).
Formato: "BIM (Revit), CNN (Mask R-CNN), Fotogrametría (SfM)"
Separar con ", ". Incluir variantes/frameworks entre paréntesis si se mencionan.
TECNOLOGÍAS_SUPPORT: Lista de tecnologías auxiliares (visualización, captura, integración).
Formato: Igual a CORE. Ejemplos: "AR (visualización), GIS, UAV, Nube de puntos"
Si no hay, escribir "N/A"
TOTAL_MENCIONES_TECH: Contar número total de tecnologías (CORE + SUPPORT sin duplicados).
Formato: número entero (ej: 8)
OBSERVACIONES: 1-3 oraciones cortas con contexto, validación realizada, ubicación geográfica.
Formato: "Validación en proyecto real en Múnich (2019). Dataset 500 imágenes BIM + fotogrametría. Limitación: solo obras en hormigón."
RESPUESTA ESPERADA (UNA SOLA FILA CSV):
[ID];[NOMBRE];[AÑO];[AUTOR];[REVISTA];[RELEVANCIA];[TIENE_VALIDACIÓN];[ACCURACY_%];[MÉTRICAS_DETECTADAS];[METRICAS_DE_IMPACTO];[TECNOLOGÍAS_CORE];[TECNOLOGÍAS_SUPPORT];[TOTAL_MENCIONES_TECH];[OBSERVACIONES]
EJEMPLO DE RESPUESTA CORRECTA:
5;Automated Progress Monitoring Using Unordered Daily Photos;2012;Mani Golparvar-Fard; Feniosky Peña-Mora;Journal of Computing;SÍ_Geométrico;SÍ;90.5%;mAP=90.5%, Precision=89%, Dataset=3000 imágenes, Validación=Proyecto Real;N/A;"Computer Vision, CNN, Fotogrametría, SfM (Structure from Motion)";"BIM (Revit), Nube de puntos";5;"Validación en edificios comerciales USA. Método combina fotogrametría y CNN para detección de estado. Limitación: requiere ángulos de cámara consistentes."
Ahora procede con el análisis. Proporciona SOLO la fila CSV, sin explicaciones adicionales.</t>
  </si>
  <si>
    <t>Instrucciones para el modelo:
Rol: Eres un asistente metodológico que extrae “brechas de investigación” explícitas e implícitas reportadas por los autores.
Objetivo: Identificar, normalizar y codificar las brechas en bullets accionables para poblar una columna “brechas” en un dataset bibliométrico.
Fuentes en el paper: Prioriza secciones “Limitations”, “Future work”, “Discussion”, “Conclusions”. Si no existen, infiere a partir de objetivos no cumplidos, supuestos fuertes, datos insuficientes o alcance restringido.
Estilo de salida: JSON con una lista “brechas”, cada ítem con: texto_normalizado, tipo, nivel, causa, seccion_origen, literal_autor, prioridad.
Definiciones:
tipo: uno de ["método", "datos", "validación", "alcance", "integración", "evaluación", "reproducibilidad", "otras"].
nivel: uno de ["técnico", "sistémico", "dominio"].
causa: breve razón raíz (p.ej., "muestra pequeña", "sesgo de dataset", "entorno controlado", "falta de series temporales", "no cubre MEP", "no integra BIM+CV", "métricas limitadas").
seccion_origen: sección donde se encontró (o "inferencia" si no hay literal).
literal_autor: cita breve entre comillas si existe en el texto; si no, "".
prioridad: 1=crítica, 2=media, 3=baja (evalúa por impacto en validez externa, riesgo de sesgo y relevancia para escalamiento).
Parámetros de extracción:
Detecta expresiones como: “future work”, “limitation(s)”, “remain(s) open”, “lack of”, “not addressed”, “beyond the scope”, “we did not”, “need(s) further investigation”.
Normaliza listas dispersas a bullets concretos (una idea por ítem).
Evita confundir hallazgos con brechas. Una brecha es algo no cubierto o insuficiente.
Cuando el paper declara múltiples brechas del mismo tipo, combina si son redundantes.
Formato de salida (obligatorio):
{
"brechas": [
{
"texto_normalizado": "&lt;una frase clara y accionable&gt;",
"tipo": "&lt;ver taxonomía&gt;",
"nivel": "&lt;técnico|sistémico|dominio&gt;",
"causa": "&lt;resumen 2-6 palabras&gt;",
"seccion_origen": "&lt;p.ej., Limitations&gt;",
"literal_autor": "&lt;cita corta si existe&gt;",
"prioridad": &lt;1|2|3&gt;
}
]
}
Criterios de priorización:
Prioridad 1: amenaza la validez externa/robustez (p.ej., dataset pequeño/sesgado, ausencia de validación en obra real, no hay comparación con baseline fuerte).
Prioridad 2: limita generalización o escalabilidad (p.ej., un solo caso, dependencia de hardware específico, ausencia de integración).
Prioridad 3: mejoras incrementales (p.ej., tuning de hiperparámetros, optimización de tiempo de cómputo).
Ejemplo de salida:
{
"brechas": [
{
"texto_normalizado": "Validar el método en múltiples obras y condiciones climáticas para evaluar generalización.",
"tipo": "validación",
"nivel": "sistémico",
"causa": "un solo caso de estudio",
"seccion_origen": "Limitations",
"literal_autor": "“our evaluation was limited to a single site”",
"prioridad": 1
},
{
"texto_normalizado": "Ampliar el dataset con clases MEP y actividades de acabado hoy subrepresentadas.",
"tipo": "datos",
"nivel": "dominio",
"causa": "clases subrepresentadas",
"seccion_origen": "Future Work",
"literal_autor": "",
"prioridad": 2
},
{
"texto_normalizado": "Integrar BIM con visión por computador para alinear mediciones as-built con as-planned.",
"tipo": "integración",
"nivel": "técnico",
"causa": "no hay integración BIM+CV",
"seccion_origen": "Discussion",
"literal_autor": "“integration with BIM is left for future work”",
"prioridad": 2
}
]
}
Validación:
Asegura JSON válido.
Máximo 10 ítems; si hay más, conserva los de mayor prioridad y diversidad de tipo.
Entregables:
Solo JSON, sin explicaciones.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</si>
</sst>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theme="1"/>
      <name val="Aptos Narrow"/>
      <family val="2"/>
      <scheme val="minor"/>
    </font>
    <font>
      <sz val="11"/>
      <color theme="1"/>
      <name val="Calibri"/>
      <family val="2"/>
    </font>
    <font>
      <sz val="11"/>
      <color theme="1"/>
      <name val="Segoe UI"/>
      <family val="2"/>
    </font>
    <font>
      <sz val="11"/>
      <color theme="1"/>
      <name val="Times New Roman"/>
      <family val="1"/>
    </font>
    <font>
      <i/>
      <sz val="11"/>
      <color theme="1"/>
      <name val="KaTeX_Math"/>
    </font>
    <font>
      <sz val="11"/>
      <color theme="1"/>
      <name val="KaTeX_Size1"/>
    </font>
    <font>
      <sz val="12"/>
      <color theme="1"/>
      <name val="Calibri"/>
      <family val="2"/>
    </font>
    <font>
      <b/>
      <sz val="11"/>
      <color theme="1"/>
      <name val="Segoe UI"/>
      <family val="2"/>
    </font>
    <font>
      <sz val="10"/>
      <color theme="1"/>
      <name val="Segoe UI"/>
      <family val="2"/>
    </font>
  </fonts>
  <fills count="2">
    <fill>
      <patternFill patternType="none"/>
    </fill>
    <fill>
      <patternFill patternType="gray125"/>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s>
  <cellStyleXfs count="1">
    <xf numFmtId="0" fontId="0" fillId="0" borderId="0"/>
  </cellStyleXfs>
  <cellXfs count="2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top" wrapText="1"/>
    </xf>
    <xf numFmtId="10" fontId="0" fillId="0" borderId="0" xfId="0" applyNumberFormat="1" applyAlignment="1">
      <alignment vertical="top" wrapText="1"/>
    </xf>
    <xf numFmtId="0" fontId="0" fillId="0" borderId="0" xfId="0" applyAlignment="1">
      <alignment horizontal="center" vertical="center" wrapText="1"/>
    </xf>
    <xf numFmtId="0" fontId="2" fillId="0" borderId="0" xfId="0" applyFont="1" applyAlignment="1">
      <alignment horizontal="left" vertical="center"/>
    </xf>
    <xf numFmtId="0" fontId="2" fillId="0" borderId="0" xfId="0" applyFont="1" applyAlignment="1">
      <alignment vertical="center"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7" fillId="0" borderId="0" xfId="0" applyFont="1" applyAlignment="1">
      <alignment vertical="center"/>
    </xf>
    <xf numFmtId="0" fontId="7"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left" vertical="top" wrapText="1"/>
    </xf>
    <xf numFmtId="0" fontId="2" fillId="0" borderId="0" xfId="0" applyFont="1" applyAlignment="1">
      <alignment horizontal="center" vertical="center" wrapText="1"/>
    </xf>
    <xf numFmtId="0" fontId="2" fillId="0" borderId="0" xfId="0" applyFont="1" applyAlignment="1">
      <alignment vertical="top" wrapText="1"/>
    </xf>
    <xf numFmtId="0" fontId="9" fillId="0" borderId="0" xfId="0" applyFont="1" applyAlignment="1">
      <alignment horizontal="left" vertical="top" wrapText="1"/>
    </xf>
    <xf numFmtId="0" fontId="2" fillId="0" borderId="2" xfId="0" applyFont="1" applyBorder="1" applyAlignment="1">
      <alignment horizontal="left" vertical="top" wrapText="1"/>
    </xf>
    <xf numFmtId="0" fontId="0" fillId="0" borderId="0" xfId="0" applyAlignment="1">
      <alignment vertical="top"/>
    </xf>
    <xf numFmtId="0" fontId="0" fillId="0" borderId="0" xfId="0" applyAlignment="1">
      <alignment horizontal="center"/>
    </xf>
    <xf numFmtId="0" fontId="0" fillId="0" borderId="0" xfId="0" applyAlignment="1">
      <alignment horizontal="center"/>
    </xf>
    <xf numFmtId="0" fontId="0" fillId="0" borderId="0" xfId="0" applyAlignment="1">
      <alignment horizontal="left"/>
    </xf>
    <xf numFmtId="2" fontId="0" fillId="0" borderId="0" xfId="0" applyNumberFormat="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6B2F-6692-424A-B98F-9B9017340D29}">
  <dimension ref="A1:AG88"/>
  <sheetViews>
    <sheetView tabSelected="1" topLeftCell="X1" zoomScale="80" zoomScaleNormal="80" workbookViewId="0">
      <selection activeCell="H1" sqref="H1:Y1"/>
    </sheetView>
  </sheetViews>
  <sheetFormatPr baseColWidth="10" defaultRowHeight="14.4"/>
  <cols>
    <col min="2" max="2" width="137.6640625" bestFit="1" customWidth="1"/>
    <col min="4" max="4" width="87.88671875" bestFit="1" customWidth="1"/>
    <col min="6" max="6" width="32.33203125" bestFit="1" customWidth="1"/>
    <col min="8" max="8" width="23" customWidth="1"/>
    <col min="17" max="17" width="16.109375" customWidth="1"/>
    <col min="19" max="19" width="27.5546875" customWidth="1"/>
    <col min="20" max="20" width="16.88671875" customWidth="1"/>
    <col min="21" max="21" width="27" customWidth="1"/>
    <col min="23" max="23" width="110" customWidth="1"/>
    <col min="25" max="25" width="17.5546875" customWidth="1"/>
    <col min="26" max="26" width="42.21875" customWidth="1"/>
    <col min="27" max="27" width="67.44140625" customWidth="1"/>
    <col min="28" max="28" width="75.5546875" customWidth="1"/>
    <col min="29" max="29" width="83" customWidth="1"/>
    <col min="30" max="30" width="69.77734375" customWidth="1"/>
    <col min="31" max="31" width="61.21875" customWidth="1"/>
    <col min="32" max="32" width="53.44140625" customWidth="1"/>
    <col min="33" max="33" width="45.44140625"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U1" t="s">
        <v>19</v>
      </c>
      <c r="V1" t="s">
        <v>20</v>
      </c>
      <c r="W1" t="s">
        <v>21</v>
      </c>
      <c r="X1" t="s">
        <v>22</v>
      </c>
      <c r="Z1" t="s">
        <v>23</v>
      </c>
      <c r="AA1" t="s">
        <v>24</v>
      </c>
      <c r="AB1" t="s">
        <v>25</v>
      </c>
      <c r="AC1" t="s">
        <v>26</v>
      </c>
      <c r="AD1" t="s">
        <v>27</v>
      </c>
      <c r="AE1" t="s">
        <v>28</v>
      </c>
      <c r="AF1" t="s">
        <v>29</v>
      </c>
      <c r="AG1" t="s">
        <v>30</v>
      </c>
    </row>
    <row r="2" spans="1:33" ht="170.4" customHeight="1">
      <c r="A2" s="1">
        <v>1</v>
      </c>
      <c r="B2" s="1" t="s">
        <v>31</v>
      </c>
      <c r="C2" s="1">
        <v>2018</v>
      </c>
      <c r="D2" s="1" t="s">
        <v>32</v>
      </c>
      <c r="E2" s="1" t="s">
        <v>33</v>
      </c>
      <c r="F2" s="1" t="s">
        <v>34</v>
      </c>
      <c r="G2" s="1" t="s">
        <v>35</v>
      </c>
      <c r="H2" s="2"/>
      <c r="I2" s="2"/>
      <c r="J2" s="2"/>
      <c r="K2" s="2"/>
      <c r="L2" s="2"/>
      <c r="M2" s="2"/>
      <c r="N2" s="2"/>
      <c r="O2" s="2"/>
      <c r="P2" s="2"/>
      <c r="Q2" s="2"/>
      <c r="R2" s="2"/>
      <c r="S2" s="3" t="s">
        <v>36</v>
      </c>
      <c r="T2" s="3"/>
      <c r="U2" s="3"/>
      <c r="W2" s="1" t="s">
        <v>37</v>
      </c>
      <c r="X2" s="1"/>
      <c r="Y2" s="1"/>
      <c r="Z2" s="3"/>
      <c r="AA2" s="3" t="s">
        <v>38</v>
      </c>
      <c r="AB2" s="3" t="s">
        <v>39</v>
      </c>
      <c r="AC2" s="3" t="s">
        <v>40</v>
      </c>
      <c r="AD2" s="3" t="s">
        <v>41</v>
      </c>
      <c r="AE2" s="3" t="s">
        <v>42</v>
      </c>
      <c r="AF2" s="3" t="s">
        <v>43</v>
      </c>
      <c r="AG2" s="3"/>
    </row>
    <row r="3" spans="1:33" ht="288">
      <c r="A3" s="1">
        <v>2</v>
      </c>
      <c r="B3" s="1" t="s">
        <v>44</v>
      </c>
      <c r="C3" s="1">
        <v>2025</v>
      </c>
      <c r="D3" s="1" t="s">
        <v>45</v>
      </c>
      <c r="E3" s="1" t="s">
        <v>46</v>
      </c>
      <c r="F3" s="1" t="s">
        <v>47</v>
      </c>
      <c r="G3" s="1" t="s">
        <v>35</v>
      </c>
      <c r="H3" s="2">
        <v>96.3</v>
      </c>
      <c r="I3" s="2">
        <v>90</v>
      </c>
      <c r="J3" s="2">
        <v>93</v>
      </c>
      <c r="K3" s="2"/>
      <c r="L3" s="2"/>
      <c r="M3" s="2"/>
      <c r="N3" s="2"/>
      <c r="O3" s="2"/>
      <c r="P3" s="2"/>
      <c r="Q3" s="2"/>
      <c r="R3" s="2"/>
      <c r="S3" s="3" t="s">
        <v>48</v>
      </c>
      <c r="T3" s="3" t="s">
        <v>49</v>
      </c>
      <c r="U3" s="3" t="s">
        <v>50</v>
      </c>
      <c r="W3" s="1" t="s">
        <v>51</v>
      </c>
      <c r="X3" s="1" t="s">
        <v>52</v>
      </c>
      <c r="Y3" s="1"/>
      <c r="Z3" s="3" t="s">
        <v>53</v>
      </c>
      <c r="AA3" s="3" t="s">
        <v>54</v>
      </c>
      <c r="AB3" s="3" t="s">
        <v>55</v>
      </c>
      <c r="AC3" s="3" t="s">
        <v>56</v>
      </c>
      <c r="AD3" s="3" t="s">
        <v>57</v>
      </c>
      <c r="AE3" s="3" t="s">
        <v>58</v>
      </c>
      <c r="AF3" s="3" t="s">
        <v>59</v>
      </c>
      <c r="AG3" s="3" t="s">
        <v>60</v>
      </c>
    </row>
    <row r="4" spans="1:33" ht="187.2">
      <c r="A4" s="1">
        <v>3</v>
      </c>
      <c r="B4" s="1" t="s">
        <v>61</v>
      </c>
      <c r="C4" s="1">
        <v>2025</v>
      </c>
      <c r="D4" s="1" t="s">
        <v>62</v>
      </c>
      <c r="E4" s="1" t="s">
        <v>46</v>
      </c>
      <c r="F4" s="1" t="s">
        <v>34</v>
      </c>
      <c r="G4" s="1" t="s">
        <v>35</v>
      </c>
      <c r="H4" s="2"/>
      <c r="I4" s="2">
        <v>93</v>
      </c>
      <c r="J4" s="2"/>
      <c r="K4" s="2">
        <v>95.4</v>
      </c>
      <c r="L4" s="2"/>
      <c r="M4" s="2">
        <v>80.7</v>
      </c>
      <c r="N4" s="2"/>
      <c r="O4" s="2"/>
      <c r="P4" s="2"/>
      <c r="Q4" s="2"/>
      <c r="R4" s="2"/>
      <c r="S4" s="3" t="s">
        <v>63</v>
      </c>
      <c r="T4" s="3" t="s">
        <v>64</v>
      </c>
      <c r="U4" s="3"/>
      <c r="W4" s="1" t="s">
        <v>65</v>
      </c>
      <c r="X4" s="1" t="s">
        <v>66</v>
      </c>
      <c r="Y4" s="1"/>
      <c r="Z4" s="3" t="s">
        <v>67</v>
      </c>
      <c r="AA4" s="3" t="s">
        <v>68</v>
      </c>
      <c r="AB4" s="3" t="s">
        <v>69</v>
      </c>
      <c r="AC4" s="3" t="s">
        <v>70</v>
      </c>
      <c r="AD4" s="3" t="s">
        <v>71</v>
      </c>
      <c r="AE4" s="3" t="s">
        <v>72</v>
      </c>
      <c r="AF4" s="3" t="s">
        <v>73</v>
      </c>
      <c r="AG4" s="3"/>
    </row>
    <row r="5" spans="1:33" ht="388.8">
      <c r="A5" s="1">
        <v>4</v>
      </c>
      <c r="B5" s="1" t="s">
        <v>74</v>
      </c>
      <c r="C5" s="1">
        <v>2012</v>
      </c>
      <c r="D5" s="1" t="s">
        <v>75</v>
      </c>
      <c r="E5" s="1" t="s">
        <v>76</v>
      </c>
      <c r="F5" s="1" t="s">
        <v>34</v>
      </c>
      <c r="G5" s="1" t="s">
        <v>35</v>
      </c>
      <c r="H5" s="2">
        <v>91.05</v>
      </c>
      <c r="I5" s="2"/>
      <c r="J5" s="2"/>
      <c r="K5" s="2"/>
      <c r="L5" s="2"/>
      <c r="M5" s="2"/>
      <c r="N5" s="2"/>
      <c r="O5" s="2"/>
      <c r="P5" s="2"/>
      <c r="Q5" s="2"/>
      <c r="R5" s="2"/>
      <c r="S5" s="3" t="s">
        <v>77</v>
      </c>
      <c r="T5" s="3" t="s">
        <v>78</v>
      </c>
      <c r="U5" s="3"/>
      <c r="W5" s="1" t="s">
        <v>79</v>
      </c>
      <c r="X5" s="1" t="s">
        <v>80</v>
      </c>
      <c r="Y5" s="1"/>
      <c r="Z5" s="3" t="s">
        <v>81</v>
      </c>
      <c r="AA5" s="3" t="s">
        <v>82</v>
      </c>
      <c r="AB5" s="3" t="s">
        <v>83</v>
      </c>
      <c r="AC5" s="3" t="s">
        <v>84</v>
      </c>
      <c r="AD5" s="3" t="s">
        <v>85</v>
      </c>
      <c r="AE5" s="3" t="s">
        <v>86</v>
      </c>
      <c r="AF5" s="3" t="s">
        <v>87</v>
      </c>
      <c r="AG5" s="3" t="s">
        <v>88</v>
      </c>
    </row>
    <row r="6" spans="1:33" ht="288">
      <c r="A6" s="1">
        <v>5</v>
      </c>
      <c r="B6" s="1" t="s">
        <v>89</v>
      </c>
      <c r="C6" s="1">
        <v>2020</v>
      </c>
      <c r="D6" s="1" t="s">
        <v>90</v>
      </c>
      <c r="E6" s="1" t="s">
        <v>33</v>
      </c>
      <c r="F6" s="1" t="s">
        <v>34</v>
      </c>
      <c r="G6" s="1" t="s">
        <v>35</v>
      </c>
      <c r="H6" s="2"/>
      <c r="I6" s="2"/>
      <c r="J6" s="2"/>
      <c r="K6" s="2"/>
      <c r="L6" s="2"/>
      <c r="M6" s="2"/>
      <c r="N6" s="2"/>
      <c r="O6" s="2"/>
      <c r="P6" s="2"/>
      <c r="Q6" s="2"/>
      <c r="R6" s="2"/>
      <c r="S6" s="3"/>
      <c r="T6" s="3"/>
      <c r="U6" s="3"/>
      <c r="W6" s="1" t="s">
        <v>91</v>
      </c>
      <c r="X6" s="1" t="s">
        <v>92</v>
      </c>
      <c r="Y6" s="1"/>
      <c r="Z6" s="3" t="s">
        <v>93</v>
      </c>
      <c r="AA6" s="3" t="s">
        <v>94</v>
      </c>
      <c r="AB6" s="3" t="s">
        <v>95</v>
      </c>
      <c r="AC6" s="3" t="s">
        <v>96</v>
      </c>
      <c r="AD6" s="3" t="s">
        <v>97</v>
      </c>
      <c r="AE6" s="3" t="s">
        <v>98</v>
      </c>
      <c r="AF6" s="3" t="s">
        <v>99</v>
      </c>
      <c r="AG6" s="3" t="s">
        <v>100</v>
      </c>
    </row>
    <row r="7" spans="1:33" ht="302.39999999999998">
      <c r="A7" s="1">
        <v>6</v>
      </c>
      <c r="B7" s="1" t="s">
        <v>101</v>
      </c>
      <c r="C7" s="1">
        <v>2019</v>
      </c>
      <c r="D7" s="1" t="s">
        <v>102</v>
      </c>
      <c r="E7" s="1" t="s">
        <v>33</v>
      </c>
      <c r="F7" s="1" t="s">
        <v>34</v>
      </c>
      <c r="G7" s="1" t="s">
        <v>35</v>
      </c>
      <c r="H7" s="2">
        <v>96</v>
      </c>
      <c r="I7" s="2">
        <v>99</v>
      </c>
      <c r="J7" s="2"/>
      <c r="K7" s="2"/>
      <c r="L7" s="2"/>
      <c r="M7" s="2"/>
      <c r="N7" s="2"/>
      <c r="O7" s="2"/>
      <c r="P7" s="2"/>
      <c r="Q7" s="2"/>
      <c r="R7" s="2"/>
      <c r="S7" s="3" t="s">
        <v>103</v>
      </c>
      <c r="T7" s="3" t="s">
        <v>104</v>
      </c>
      <c r="U7" s="3"/>
      <c r="W7" s="1" t="s">
        <v>105</v>
      </c>
      <c r="X7" s="1"/>
      <c r="Y7" s="1"/>
      <c r="Z7" s="3" t="s">
        <v>106</v>
      </c>
      <c r="AA7" s="3" t="s">
        <v>107</v>
      </c>
      <c r="AB7" s="3" t="s">
        <v>108</v>
      </c>
      <c r="AC7" s="3" t="s">
        <v>109</v>
      </c>
      <c r="AD7" s="3" t="s">
        <v>110</v>
      </c>
      <c r="AE7" s="3" t="s">
        <v>111</v>
      </c>
      <c r="AF7" s="3" t="s">
        <v>112</v>
      </c>
      <c r="AG7" s="3" t="s">
        <v>113</v>
      </c>
    </row>
    <row r="8" spans="1:33" ht="230.4">
      <c r="A8" s="1">
        <v>7</v>
      </c>
      <c r="B8" s="1" t="s">
        <v>114</v>
      </c>
      <c r="C8" s="1">
        <v>2020</v>
      </c>
      <c r="D8" s="1" t="s">
        <v>115</v>
      </c>
      <c r="E8" s="1" t="s">
        <v>33</v>
      </c>
      <c r="F8" s="1" t="s">
        <v>34</v>
      </c>
      <c r="G8" s="1" t="s">
        <v>35</v>
      </c>
      <c r="H8" s="2">
        <v>91.4</v>
      </c>
      <c r="I8" s="2">
        <v>92.7</v>
      </c>
      <c r="J8" s="2">
        <v>92</v>
      </c>
      <c r="K8" s="2">
        <v>90.7</v>
      </c>
      <c r="L8" s="2"/>
      <c r="M8" s="2"/>
      <c r="N8" s="2"/>
      <c r="O8" s="2"/>
      <c r="P8" s="2"/>
      <c r="Q8" s="2"/>
      <c r="R8" s="2"/>
      <c r="S8" s="3" t="s">
        <v>116</v>
      </c>
      <c r="T8" s="3" t="s">
        <v>117</v>
      </c>
      <c r="U8" s="3"/>
      <c r="W8" s="1" t="s">
        <v>118</v>
      </c>
      <c r="X8" s="1" t="s">
        <v>119</v>
      </c>
      <c r="Y8" s="1"/>
      <c r="Z8" s="3" t="s">
        <v>120</v>
      </c>
      <c r="AA8" s="3" t="s">
        <v>121</v>
      </c>
      <c r="AB8" s="3" t="s">
        <v>122</v>
      </c>
      <c r="AC8" s="3" t="s">
        <v>123</v>
      </c>
      <c r="AD8" s="3" t="s">
        <v>124</v>
      </c>
      <c r="AE8" s="3" t="s">
        <v>125</v>
      </c>
      <c r="AF8" s="3" t="s">
        <v>126</v>
      </c>
      <c r="AG8" s="3" t="s">
        <v>127</v>
      </c>
    </row>
    <row r="9" spans="1:33" ht="172.8">
      <c r="A9" s="1">
        <v>8</v>
      </c>
      <c r="B9" s="1" t="s">
        <v>128</v>
      </c>
      <c r="C9" s="1">
        <v>2020</v>
      </c>
      <c r="D9" s="1" t="s">
        <v>129</v>
      </c>
      <c r="E9" s="1" t="s">
        <v>76</v>
      </c>
      <c r="F9" s="1" t="s">
        <v>34</v>
      </c>
      <c r="G9" s="1" t="s">
        <v>35</v>
      </c>
      <c r="H9" s="2">
        <v>88.1</v>
      </c>
      <c r="I9" s="2">
        <v>79.099999999999994</v>
      </c>
      <c r="J9" s="2"/>
      <c r="K9" s="2">
        <v>93</v>
      </c>
      <c r="L9" s="2">
        <v>85</v>
      </c>
      <c r="M9" s="2"/>
      <c r="N9" s="2">
        <v>92</v>
      </c>
      <c r="O9" s="2">
        <v>89</v>
      </c>
      <c r="P9" s="2"/>
      <c r="Q9" s="2"/>
      <c r="R9" s="2"/>
      <c r="S9" s="3" t="s">
        <v>130</v>
      </c>
      <c r="T9" s="3" t="s">
        <v>131</v>
      </c>
      <c r="U9" s="3"/>
      <c r="W9" s="1" t="s">
        <v>132</v>
      </c>
      <c r="X9" s="1" t="s">
        <v>133</v>
      </c>
      <c r="Y9" s="1"/>
      <c r="Z9" s="3" t="s">
        <v>134</v>
      </c>
      <c r="AA9" s="3" t="s">
        <v>135</v>
      </c>
      <c r="AB9" s="3" t="s">
        <v>136</v>
      </c>
      <c r="AC9" s="3" t="s">
        <v>137</v>
      </c>
      <c r="AD9" s="3" t="s">
        <v>138</v>
      </c>
      <c r="AE9" s="3" t="s">
        <v>139</v>
      </c>
      <c r="AF9" s="3" t="s">
        <v>140</v>
      </c>
      <c r="AG9" s="3" t="s">
        <v>141</v>
      </c>
    </row>
    <row r="10" spans="1:33" ht="187.2">
      <c r="A10" s="1">
        <v>9</v>
      </c>
      <c r="B10" s="1" t="s">
        <v>142</v>
      </c>
      <c r="C10" s="1">
        <v>2010</v>
      </c>
      <c r="D10" s="1" t="s">
        <v>143</v>
      </c>
      <c r="E10" s="1" t="s">
        <v>33</v>
      </c>
      <c r="F10" s="1" t="s">
        <v>34</v>
      </c>
      <c r="G10" s="1" t="s">
        <v>35</v>
      </c>
      <c r="H10" s="2"/>
      <c r="I10" s="2"/>
      <c r="J10" s="2"/>
      <c r="K10" s="2"/>
      <c r="L10" s="2"/>
      <c r="M10" s="2"/>
      <c r="N10" s="2"/>
      <c r="O10" s="2"/>
      <c r="P10" s="2"/>
      <c r="Q10" s="2"/>
      <c r="R10" s="2"/>
      <c r="S10" s="3"/>
      <c r="T10" s="3"/>
      <c r="U10" s="3"/>
      <c r="W10" s="1" t="s">
        <v>144</v>
      </c>
      <c r="X10" s="1" t="s">
        <v>145</v>
      </c>
      <c r="Y10" s="1"/>
      <c r="Z10" s="3" t="s">
        <v>146</v>
      </c>
      <c r="AA10" s="3" t="s">
        <v>147</v>
      </c>
      <c r="AB10" s="3" t="s">
        <v>148</v>
      </c>
      <c r="AC10" s="3" t="s">
        <v>149</v>
      </c>
      <c r="AD10" s="3" t="s">
        <v>150</v>
      </c>
      <c r="AE10" s="3" t="s">
        <v>151</v>
      </c>
      <c r="AF10" s="3" t="s">
        <v>152</v>
      </c>
      <c r="AG10" s="3" t="s">
        <v>153</v>
      </c>
    </row>
    <row r="11" spans="1:33" ht="187.2">
      <c r="A11" s="1">
        <v>10</v>
      </c>
      <c r="B11" s="1" t="s">
        <v>154</v>
      </c>
      <c r="C11" s="1">
        <v>2010</v>
      </c>
      <c r="D11" s="1" t="s">
        <v>155</v>
      </c>
      <c r="E11" s="1" t="s">
        <v>156</v>
      </c>
      <c r="F11" s="1" t="s">
        <v>157</v>
      </c>
      <c r="G11" s="1" t="s">
        <v>35</v>
      </c>
      <c r="H11" s="2">
        <v>93</v>
      </c>
      <c r="I11" s="2">
        <v>83</v>
      </c>
      <c r="J11" s="2"/>
      <c r="K11" s="2"/>
      <c r="L11" s="2"/>
      <c r="M11" s="2"/>
      <c r="N11" s="2"/>
      <c r="O11" s="2"/>
      <c r="P11" s="2">
        <v>29.3</v>
      </c>
      <c r="Q11" s="2"/>
      <c r="R11" s="2"/>
      <c r="S11" s="4">
        <v>0.93</v>
      </c>
      <c r="T11" s="3" t="s">
        <v>158</v>
      </c>
      <c r="U11" s="3"/>
      <c r="W11" s="1" t="s">
        <v>159</v>
      </c>
      <c r="X11" s="1" t="s">
        <v>160</v>
      </c>
      <c r="Y11" s="1"/>
      <c r="Z11" s="3" t="s">
        <v>161</v>
      </c>
      <c r="AA11" s="3" t="s">
        <v>162</v>
      </c>
      <c r="AB11" s="3" t="s">
        <v>163</v>
      </c>
      <c r="AC11" s="3" t="s">
        <v>164</v>
      </c>
      <c r="AD11" s="3" t="s">
        <v>165</v>
      </c>
      <c r="AE11" s="3" t="s">
        <v>166</v>
      </c>
      <c r="AF11" s="3" t="s">
        <v>167</v>
      </c>
      <c r="AG11" s="3" t="s">
        <v>168</v>
      </c>
    </row>
    <row r="12" spans="1:33" ht="216">
      <c r="A12" s="1">
        <v>11</v>
      </c>
      <c r="B12" s="1" t="s">
        <v>169</v>
      </c>
      <c r="C12" s="1">
        <v>2022</v>
      </c>
      <c r="D12" s="1" t="s">
        <v>170</v>
      </c>
      <c r="E12" s="1" t="s">
        <v>171</v>
      </c>
      <c r="F12" s="1" t="s">
        <v>34</v>
      </c>
      <c r="G12" s="1" t="s">
        <v>35</v>
      </c>
      <c r="H12" s="2"/>
      <c r="I12" s="2"/>
      <c r="J12" s="2"/>
      <c r="K12" s="2"/>
      <c r="L12" s="2"/>
      <c r="M12" s="2"/>
      <c r="N12" s="2"/>
      <c r="O12" s="2"/>
      <c r="P12" s="2"/>
      <c r="Q12" s="2"/>
      <c r="R12" s="2"/>
      <c r="S12" s="3"/>
      <c r="T12" s="3"/>
      <c r="U12" s="3"/>
      <c r="W12" s="1" t="s">
        <v>172</v>
      </c>
      <c r="X12" s="1" t="s">
        <v>173</v>
      </c>
      <c r="Y12" s="1"/>
      <c r="Z12" s="3" t="s">
        <v>174</v>
      </c>
      <c r="AA12" s="3" t="s">
        <v>175</v>
      </c>
      <c r="AB12" s="3" t="s">
        <v>176</v>
      </c>
      <c r="AC12" s="3" t="s">
        <v>177</v>
      </c>
      <c r="AD12" s="3" t="s">
        <v>178</v>
      </c>
      <c r="AE12" s="3" t="s">
        <v>179</v>
      </c>
      <c r="AF12" s="3" t="s">
        <v>180</v>
      </c>
      <c r="AG12" s="3" t="s">
        <v>181</v>
      </c>
    </row>
    <row r="13" spans="1:33" ht="187.2">
      <c r="A13" s="1">
        <v>12</v>
      </c>
      <c r="B13" s="1" t="s">
        <v>182</v>
      </c>
      <c r="C13" s="1">
        <v>2024</v>
      </c>
      <c r="D13" s="1" t="s">
        <v>183</v>
      </c>
      <c r="E13" s="1" t="s">
        <v>33</v>
      </c>
      <c r="F13" s="1" t="s">
        <v>34</v>
      </c>
      <c r="G13" s="1" t="s">
        <v>184</v>
      </c>
      <c r="H13" s="2"/>
      <c r="I13" s="2"/>
      <c r="J13" s="2"/>
      <c r="K13" s="2">
        <v>90</v>
      </c>
      <c r="L13" s="2">
        <v>77.400000000000006</v>
      </c>
      <c r="M13" s="2"/>
      <c r="N13" s="2"/>
      <c r="O13" s="2"/>
      <c r="P13" s="2"/>
      <c r="Q13" s="2">
        <v>5.63</v>
      </c>
      <c r="R13" s="2"/>
      <c r="S13" s="3" t="s">
        <v>185</v>
      </c>
      <c r="T13" s="3" t="s">
        <v>186</v>
      </c>
      <c r="U13" s="3"/>
      <c r="W13" s="1" t="s">
        <v>187</v>
      </c>
      <c r="X13" s="1" t="s">
        <v>188</v>
      </c>
      <c r="Y13" s="1"/>
      <c r="Z13" s="3" t="s">
        <v>189</v>
      </c>
      <c r="AA13" s="3" t="s">
        <v>190</v>
      </c>
      <c r="AB13" s="3" t="s">
        <v>191</v>
      </c>
      <c r="AC13" s="3" t="s">
        <v>192</v>
      </c>
      <c r="AD13" s="3" t="s">
        <v>193</v>
      </c>
      <c r="AE13" s="3" t="s">
        <v>194</v>
      </c>
      <c r="AF13" s="3" t="s">
        <v>195</v>
      </c>
      <c r="AG13" s="3" t="s">
        <v>196</v>
      </c>
    </row>
    <row r="14" spans="1:33" ht="158.4">
      <c r="A14" s="1">
        <v>13</v>
      </c>
      <c r="B14" s="1" t="s">
        <v>197</v>
      </c>
      <c r="C14" s="1">
        <v>2023</v>
      </c>
      <c r="D14" s="1" t="s">
        <v>198</v>
      </c>
      <c r="E14" s="1" t="s">
        <v>33</v>
      </c>
      <c r="F14" s="1" t="s">
        <v>34</v>
      </c>
      <c r="G14" s="1" t="s">
        <v>35</v>
      </c>
      <c r="H14" s="2"/>
      <c r="I14" s="2"/>
      <c r="J14" s="2"/>
      <c r="K14" s="2">
        <v>95.2</v>
      </c>
      <c r="L14" s="2">
        <v>90.9</v>
      </c>
      <c r="M14" s="2">
        <v>85.7</v>
      </c>
      <c r="N14" s="2"/>
      <c r="O14" s="2"/>
      <c r="P14" s="2"/>
      <c r="Q14" s="2"/>
      <c r="R14" s="2"/>
      <c r="S14" s="3" t="s">
        <v>199</v>
      </c>
      <c r="T14" s="3" t="s">
        <v>200</v>
      </c>
      <c r="U14" s="3"/>
      <c r="W14" s="1" t="s">
        <v>201</v>
      </c>
      <c r="X14" s="1" t="s">
        <v>202</v>
      </c>
      <c r="Y14" s="1"/>
      <c r="Z14" s="3" t="s">
        <v>203</v>
      </c>
      <c r="AA14" s="3" t="s">
        <v>204</v>
      </c>
      <c r="AB14" s="3" t="s">
        <v>205</v>
      </c>
      <c r="AC14" s="3" t="s">
        <v>206</v>
      </c>
      <c r="AD14" s="3" t="s">
        <v>207</v>
      </c>
      <c r="AE14" s="3" t="s">
        <v>208</v>
      </c>
      <c r="AF14" s="3" t="s">
        <v>209</v>
      </c>
      <c r="AG14" s="3" t="s">
        <v>210</v>
      </c>
    </row>
    <row r="15" spans="1:33" ht="187.2">
      <c r="A15" s="1">
        <v>14</v>
      </c>
      <c r="B15" s="1" t="s">
        <v>211</v>
      </c>
      <c r="C15" s="1">
        <v>2023</v>
      </c>
      <c r="D15" s="1" t="s">
        <v>212</v>
      </c>
      <c r="E15" s="1" t="s">
        <v>33</v>
      </c>
      <c r="F15" s="1" t="s">
        <v>34</v>
      </c>
      <c r="G15" s="1" t="s">
        <v>35</v>
      </c>
      <c r="H15" s="2"/>
      <c r="I15" s="2"/>
      <c r="J15" s="2"/>
      <c r="K15" s="2"/>
      <c r="L15" s="2"/>
      <c r="M15" s="2">
        <v>89.3</v>
      </c>
      <c r="N15" s="2"/>
      <c r="O15" s="2"/>
      <c r="P15" s="2"/>
      <c r="Q15" s="2"/>
      <c r="R15" s="2"/>
      <c r="S15" s="3" t="s">
        <v>213</v>
      </c>
      <c r="T15" s="3" t="s">
        <v>214</v>
      </c>
      <c r="U15" s="3"/>
      <c r="W15" s="1" t="s">
        <v>215</v>
      </c>
      <c r="X15" s="1" t="s">
        <v>216</v>
      </c>
      <c r="Y15" s="1"/>
      <c r="Z15" s="3" t="s">
        <v>217</v>
      </c>
      <c r="AA15" s="3" t="s">
        <v>218</v>
      </c>
      <c r="AB15" s="3" t="s">
        <v>219</v>
      </c>
      <c r="AC15" s="3" t="s">
        <v>220</v>
      </c>
      <c r="AD15" s="3" t="s">
        <v>221</v>
      </c>
      <c r="AE15" s="3" t="s">
        <v>222</v>
      </c>
      <c r="AF15" s="3" t="s">
        <v>223</v>
      </c>
      <c r="AG15" s="3" t="s">
        <v>224</v>
      </c>
    </row>
    <row r="16" spans="1:33" ht="187.2">
      <c r="A16" s="1">
        <v>15</v>
      </c>
      <c r="B16" s="1" t="s">
        <v>225</v>
      </c>
      <c r="C16" s="1">
        <v>2024</v>
      </c>
      <c r="D16" s="1" t="s">
        <v>226</v>
      </c>
      <c r="E16" s="1" t="s">
        <v>227</v>
      </c>
      <c r="F16" s="1" t="s">
        <v>34</v>
      </c>
      <c r="G16" s="1" t="s">
        <v>35</v>
      </c>
      <c r="H16" s="2"/>
      <c r="I16" s="2"/>
      <c r="J16" s="2"/>
      <c r="K16" s="2"/>
      <c r="L16" s="2"/>
      <c r="M16" s="2">
        <v>88.02</v>
      </c>
      <c r="N16" s="2"/>
      <c r="O16" s="2"/>
      <c r="P16" s="2"/>
      <c r="Q16" s="2"/>
      <c r="R16" s="2"/>
      <c r="S16" s="3" t="s">
        <v>228</v>
      </c>
      <c r="T16" s="3" t="s">
        <v>229</v>
      </c>
      <c r="U16" s="3"/>
      <c r="W16" s="1" t="s">
        <v>230</v>
      </c>
      <c r="X16" s="1" t="s">
        <v>231</v>
      </c>
      <c r="Y16" s="1"/>
      <c r="Z16" s="3" t="s">
        <v>232</v>
      </c>
      <c r="AA16" s="3" t="s">
        <v>233</v>
      </c>
      <c r="AB16" s="3" t="s">
        <v>234</v>
      </c>
      <c r="AC16" s="3" t="s">
        <v>235</v>
      </c>
      <c r="AD16" s="3" t="s">
        <v>236</v>
      </c>
      <c r="AE16" s="3" t="s">
        <v>237</v>
      </c>
      <c r="AF16" s="3" t="s">
        <v>238</v>
      </c>
      <c r="AG16" s="3" t="s">
        <v>239</v>
      </c>
    </row>
    <row r="17" spans="1:33" ht="288">
      <c r="A17" s="1">
        <v>16</v>
      </c>
      <c r="B17" s="1" t="s">
        <v>240</v>
      </c>
      <c r="C17" s="1">
        <v>2024</v>
      </c>
      <c r="D17" s="1" t="s">
        <v>241</v>
      </c>
      <c r="E17" s="1" t="s">
        <v>33</v>
      </c>
      <c r="F17" s="1" t="s">
        <v>34</v>
      </c>
      <c r="G17" s="1" t="s">
        <v>35</v>
      </c>
      <c r="H17" s="2">
        <v>80.95</v>
      </c>
      <c r="I17" s="2"/>
      <c r="J17" s="2">
        <v>80.400000000000006</v>
      </c>
      <c r="K17" s="2"/>
      <c r="L17" s="2"/>
      <c r="M17" s="2"/>
      <c r="N17" s="2"/>
      <c r="O17" s="2"/>
      <c r="P17" s="2"/>
      <c r="Q17" s="2"/>
      <c r="R17" s="2"/>
      <c r="S17" s="3" t="s">
        <v>242</v>
      </c>
      <c r="T17" s="3" t="s">
        <v>243</v>
      </c>
      <c r="U17" s="3"/>
      <c r="W17" s="1" t="s">
        <v>244</v>
      </c>
      <c r="X17" s="1"/>
      <c r="Y17" s="1"/>
      <c r="Z17" s="3" t="s">
        <v>245</v>
      </c>
      <c r="AA17" s="3" t="s">
        <v>246</v>
      </c>
      <c r="AB17" s="3" t="s">
        <v>247</v>
      </c>
      <c r="AC17" s="3" t="s">
        <v>248</v>
      </c>
      <c r="AD17" s="3" t="s">
        <v>249</v>
      </c>
      <c r="AE17" s="3" t="s">
        <v>250</v>
      </c>
      <c r="AF17" s="3" t="s">
        <v>251</v>
      </c>
      <c r="AG17" s="3" t="s">
        <v>252</v>
      </c>
    </row>
    <row r="18" spans="1:33" ht="244.8">
      <c r="A18" s="1">
        <v>17</v>
      </c>
      <c r="B18" s="1" t="s">
        <v>253</v>
      </c>
      <c r="C18" s="1">
        <v>2025</v>
      </c>
      <c r="D18" s="1" t="s">
        <v>254</v>
      </c>
      <c r="E18" s="1" t="s">
        <v>33</v>
      </c>
      <c r="F18" s="1" t="s">
        <v>34</v>
      </c>
      <c r="G18" s="1" t="s">
        <v>35</v>
      </c>
      <c r="H18" s="2">
        <v>91.1</v>
      </c>
      <c r="I18" s="2">
        <v>92.7</v>
      </c>
      <c r="J18" s="2"/>
      <c r="K18" s="2">
        <v>95.2</v>
      </c>
      <c r="L18" s="2"/>
      <c r="M18" s="2"/>
      <c r="N18" s="2"/>
      <c r="O18" s="2"/>
      <c r="P18" s="2"/>
      <c r="Q18" s="2"/>
      <c r="R18" s="2"/>
      <c r="S18" s="3" t="s">
        <v>255</v>
      </c>
      <c r="T18" s="3" t="s">
        <v>256</v>
      </c>
      <c r="U18" s="3"/>
      <c r="W18" s="1" t="s">
        <v>257</v>
      </c>
      <c r="X18" s="1" t="s">
        <v>258</v>
      </c>
      <c r="Y18" s="1"/>
      <c r="Z18" s="3" t="s">
        <v>259</v>
      </c>
      <c r="AA18" s="3" t="s">
        <v>260</v>
      </c>
      <c r="AB18" s="3" t="s">
        <v>261</v>
      </c>
      <c r="AC18" s="3" t="s">
        <v>262</v>
      </c>
      <c r="AD18" s="3" t="s">
        <v>263</v>
      </c>
      <c r="AE18" s="3" t="s">
        <v>264</v>
      </c>
      <c r="AF18" s="3" t="s">
        <v>265</v>
      </c>
      <c r="AG18" s="3" t="s">
        <v>266</v>
      </c>
    </row>
    <row r="19" spans="1:33" ht="230.4">
      <c r="A19" s="1">
        <v>18</v>
      </c>
      <c r="B19" s="1" t="s">
        <v>267</v>
      </c>
      <c r="C19" s="1">
        <v>2025</v>
      </c>
      <c r="D19" s="1" t="s">
        <v>268</v>
      </c>
      <c r="E19" s="1" t="s">
        <v>33</v>
      </c>
      <c r="F19" s="1" t="s">
        <v>34</v>
      </c>
      <c r="G19" s="1" t="s">
        <v>184</v>
      </c>
      <c r="H19" s="2">
        <f>(94.3+93)/2</f>
        <v>93.65</v>
      </c>
      <c r="I19" s="2"/>
      <c r="J19" s="2"/>
      <c r="K19" s="2"/>
      <c r="L19" s="2"/>
      <c r="M19" s="2"/>
      <c r="N19" s="2"/>
      <c r="O19" s="2"/>
      <c r="P19" s="2"/>
      <c r="Q19" s="5" t="s">
        <v>269</v>
      </c>
      <c r="R19" s="2"/>
      <c r="S19" s="3" t="s">
        <v>270</v>
      </c>
      <c r="T19" s="5" t="s">
        <v>271</v>
      </c>
      <c r="U19" s="3"/>
      <c r="W19" s="1" t="s">
        <v>272</v>
      </c>
      <c r="X19" s="1" t="s">
        <v>273</v>
      </c>
      <c r="Y19" s="1"/>
      <c r="Z19" s="3" t="s">
        <v>274</v>
      </c>
      <c r="AA19" s="3" t="s">
        <v>275</v>
      </c>
      <c r="AB19" s="3" t="s">
        <v>276</v>
      </c>
      <c r="AC19" s="3" t="s">
        <v>277</v>
      </c>
      <c r="AD19" s="3" t="s">
        <v>278</v>
      </c>
      <c r="AE19" s="3" t="s">
        <v>279</v>
      </c>
      <c r="AF19" s="3" t="s">
        <v>280</v>
      </c>
      <c r="AG19" s="3" t="s">
        <v>281</v>
      </c>
    </row>
    <row r="20" spans="1:33" ht="244.8">
      <c r="A20" s="1">
        <v>19</v>
      </c>
      <c r="B20" s="1" t="s">
        <v>282</v>
      </c>
      <c r="C20" s="1">
        <v>2025</v>
      </c>
      <c r="D20" s="1" t="s">
        <v>283</v>
      </c>
      <c r="E20" s="1" t="s">
        <v>284</v>
      </c>
      <c r="F20" s="1" t="s">
        <v>34</v>
      </c>
      <c r="G20" s="1" t="s">
        <v>35</v>
      </c>
      <c r="H20" s="2">
        <v>95.4</v>
      </c>
      <c r="I20" s="2">
        <v>61.6</v>
      </c>
      <c r="J20" s="2">
        <v>79.5</v>
      </c>
      <c r="K20" s="2"/>
      <c r="L20" s="2"/>
      <c r="M20" s="2"/>
      <c r="N20" s="2"/>
      <c r="O20" s="2"/>
      <c r="P20" s="2"/>
      <c r="Q20" s="2"/>
      <c r="R20" s="2"/>
      <c r="S20" s="4">
        <v>0.95399999999999996</v>
      </c>
      <c r="T20" s="3" t="s">
        <v>285</v>
      </c>
      <c r="U20" s="3"/>
      <c r="W20" s="1" t="s">
        <v>286</v>
      </c>
      <c r="X20" s="1"/>
      <c r="Y20" s="1"/>
      <c r="Z20" s="3" t="s">
        <v>287</v>
      </c>
      <c r="AA20" s="3" t="s">
        <v>288</v>
      </c>
      <c r="AB20" s="3" t="s">
        <v>289</v>
      </c>
      <c r="AC20" s="3" t="s">
        <v>290</v>
      </c>
      <c r="AD20" s="3" t="s">
        <v>291</v>
      </c>
      <c r="AE20" s="3" t="s">
        <v>292</v>
      </c>
      <c r="AF20" s="3" t="s">
        <v>293</v>
      </c>
      <c r="AG20" s="3" t="s">
        <v>294</v>
      </c>
    </row>
    <row r="21" spans="1:33" ht="244.8">
      <c r="A21" s="1">
        <v>20</v>
      </c>
      <c r="B21" s="1" t="s">
        <v>295</v>
      </c>
      <c r="C21" s="1">
        <v>2011</v>
      </c>
      <c r="D21" s="1" t="s">
        <v>296</v>
      </c>
      <c r="E21" s="1" t="s">
        <v>297</v>
      </c>
      <c r="F21" s="1" t="s">
        <v>34</v>
      </c>
      <c r="G21" s="1" t="s">
        <v>35</v>
      </c>
      <c r="H21" s="2">
        <v>95</v>
      </c>
      <c r="I21" s="2">
        <v>100</v>
      </c>
      <c r="J21" s="2"/>
      <c r="K21" s="2"/>
      <c r="L21" s="2"/>
      <c r="M21" s="2"/>
      <c r="N21" s="2"/>
      <c r="O21" s="2"/>
      <c r="P21" s="2"/>
      <c r="Q21" s="2"/>
      <c r="R21" s="2"/>
      <c r="S21" s="4">
        <v>0.95</v>
      </c>
      <c r="T21" s="3" t="s">
        <v>298</v>
      </c>
      <c r="U21" s="3"/>
      <c r="W21" s="1" t="s">
        <v>299</v>
      </c>
      <c r="X21" s="1" t="s">
        <v>300</v>
      </c>
      <c r="Y21" s="1"/>
      <c r="Z21" s="3" t="s">
        <v>301</v>
      </c>
      <c r="AA21" s="3" t="s">
        <v>302</v>
      </c>
      <c r="AB21" s="3" t="s">
        <v>303</v>
      </c>
      <c r="AC21" s="3" t="s">
        <v>304</v>
      </c>
      <c r="AD21" s="3" t="s">
        <v>305</v>
      </c>
      <c r="AE21" s="3" t="s">
        <v>306</v>
      </c>
      <c r="AF21" s="3" t="s">
        <v>307</v>
      </c>
      <c r="AG21" s="3" t="s">
        <v>308</v>
      </c>
    </row>
    <row r="22" spans="1:33" ht="172.8">
      <c r="A22" s="1">
        <v>21</v>
      </c>
      <c r="B22" s="1" t="s">
        <v>309</v>
      </c>
      <c r="C22" s="1">
        <v>2023</v>
      </c>
      <c r="D22" s="1" t="s">
        <v>310</v>
      </c>
      <c r="E22" s="1" t="s">
        <v>311</v>
      </c>
      <c r="F22" s="1" t="s">
        <v>157</v>
      </c>
      <c r="G22" s="1" t="s">
        <v>35</v>
      </c>
      <c r="H22" s="2"/>
      <c r="I22" s="2"/>
      <c r="J22" s="2"/>
      <c r="K22" s="2"/>
      <c r="L22" s="2"/>
      <c r="M22" s="2"/>
      <c r="N22" s="2"/>
      <c r="O22" s="2"/>
      <c r="P22" s="2"/>
      <c r="Q22" s="2"/>
      <c r="R22" s="2"/>
      <c r="S22" s="3"/>
      <c r="T22" s="3" t="s">
        <v>312</v>
      </c>
      <c r="U22" s="3"/>
      <c r="W22" s="1" t="s">
        <v>313</v>
      </c>
      <c r="X22" s="1" t="s">
        <v>314</v>
      </c>
      <c r="Y22" s="1"/>
      <c r="Z22" s="3" t="s">
        <v>315</v>
      </c>
      <c r="AA22" s="3" t="s">
        <v>316</v>
      </c>
      <c r="AB22" s="3" t="s">
        <v>317</v>
      </c>
      <c r="AC22" s="3" t="s">
        <v>318</v>
      </c>
      <c r="AD22" s="3" t="s">
        <v>319</v>
      </c>
      <c r="AE22" s="3" t="s">
        <v>320</v>
      </c>
      <c r="AF22" s="3" t="s">
        <v>321</v>
      </c>
      <c r="AG22" s="3" t="s">
        <v>322</v>
      </c>
    </row>
    <row r="23" spans="1:33" ht="158.4">
      <c r="A23" s="1">
        <v>22</v>
      </c>
      <c r="B23" s="1" t="s">
        <v>323</v>
      </c>
      <c r="C23" s="1">
        <v>2021</v>
      </c>
      <c r="D23" s="1" t="s">
        <v>324</v>
      </c>
      <c r="E23" s="1" t="s">
        <v>325</v>
      </c>
      <c r="F23" s="1" t="s">
        <v>34</v>
      </c>
      <c r="G23" s="1" t="s">
        <v>35</v>
      </c>
      <c r="H23" s="2"/>
      <c r="I23" s="2"/>
      <c r="J23" s="2"/>
      <c r="K23" s="2">
        <v>47.57</v>
      </c>
      <c r="L23" s="2">
        <v>74.13</v>
      </c>
      <c r="M23" s="2"/>
      <c r="N23" s="2"/>
      <c r="O23" s="2"/>
      <c r="P23" s="2"/>
      <c r="Q23" s="2"/>
      <c r="R23" s="2"/>
      <c r="S23" s="3" t="s">
        <v>326</v>
      </c>
      <c r="T23" s="3"/>
      <c r="U23" s="3"/>
      <c r="W23" s="1" t="s">
        <v>327</v>
      </c>
      <c r="X23" s="1"/>
      <c r="Y23" s="1"/>
      <c r="Z23" s="3" t="s">
        <v>328</v>
      </c>
      <c r="AA23" s="3" t="s">
        <v>329</v>
      </c>
      <c r="AB23" s="3" t="s">
        <v>330</v>
      </c>
      <c r="AC23" s="3" t="s">
        <v>331</v>
      </c>
      <c r="AD23" s="3" t="s">
        <v>332</v>
      </c>
      <c r="AE23" s="3" t="s">
        <v>333</v>
      </c>
      <c r="AF23" s="3" t="s">
        <v>334</v>
      </c>
      <c r="AG23" s="3" t="s">
        <v>335</v>
      </c>
    </row>
    <row r="24" spans="1:33" ht="129.6">
      <c r="A24" s="1">
        <v>23</v>
      </c>
      <c r="B24" s="1" t="s">
        <v>336</v>
      </c>
      <c r="C24" s="1">
        <v>2025</v>
      </c>
      <c r="D24" s="1" t="s">
        <v>337</v>
      </c>
      <c r="E24" s="1" t="s">
        <v>33</v>
      </c>
      <c r="F24" s="1" t="s">
        <v>338</v>
      </c>
      <c r="G24" s="1" t="s">
        <v>184</v>
      </c>
      <c r="H24" s="2"/>
      <c r="I24" s="2"/>
      <c r="J24" s="2"/>
      <c r="K24" s="2"/>
      <c r="L24" s="2"/>
      <c r="M24" s="2"/>
      <c r="N24" s="2"/>
      <c r="O24" s="2"/>
      <c r="P24" s="2"/>
      <c r="Q24" s="2"/>
      <c r="R24" s="2"/>
      <c r="S24" s="3"/>
      <c r="T24" s="3"/>
      <c r="U24" s="3"/>
      <c r="W24" s="1" t="s">
        <v>339</v>
      </c>
      <c r="X24" s="1" t="s">
        <v>340</v>
      </c>
      <c r="Y24" s="1"/>
      <c r="Z24" s="3" t="s">
        <v>341</v>
      </c>
      <c r="AA24" s="3" t="s">
        <v>342</v>
      </c>
      <c r="AB24" s="3" t="s">
        <v>343</v>
      </c>
      <c r="AC24" s="3" t="s">
        <v>344</v>
      </c>
      <c r="AD24" s="3"/>
      <c r="AE24" s="3"/>
      <c r="AF24" s="3"/>
      <c r="AG24" s="3"/>
    </row>
    <row r="25" spans="1:33" ht="230.4">
      <c r="A25" s="1">
        <v>24</v>
      </c>
      <c r="B25" s="1" t="s">
        <v>345</v>
      </c>
      <c r="C25" s="1">
        <v>2025</v>
      </c>
      <c r="D25" s="1" t="s">
        <v>346</v>
      </c>
      <c r="E25" s="1" t="s">
        <v>33</v>
      </c>
      <c r="F25" s="1" t="s">
        <v>347</v>
      </c>
      <c r="G25" s="1" t="s">
        <v>35</v>
      </c>
      <c r="H25" s="2"/>
      <c r="I25" s="2">
        <v>35.85</v>
      </c>
      <c r="J25" s="2"/>
      <c r="K25" s="2">
        <v>6.07</v>
      </c>
      <c r="L25" s="2"/>
      <c r="M25" s="2"/>
      <c r="N25" s="2"/>
      <c r="O25" s="2"/>
      <c r="P25" s="2"/>
      <c r="Q25" s="2"/>
      <c r="R25" s="2"/>
      <c r="S25" s="3" t="s">
        <v>348</v>
      </c>
      <c r="T25" s="3"/>
      <c r="U25" s="3"/>
      <c r="W25" s="1" t="s">
        <v>349</v>
      </c>
      <c r="X25" s="1" t="s">
        <v>350</v>
      </c>
      <c r="Y25" s="1"/>
      <c r="Z25" s="3" t="s">
        <v>351</v>
      </c>
      <c r="AA25" s="3" t="s">
        <v>352</v>
      </c>
      <c r="AB25" s="3" t="s">
        <v>353</v>
      </c>
      <c r="AC25" s="3" t="s">
        <v>354</v>
      </c>
      <c r="AD25" s="3"/>
      <c r="AE25" s="3"/>
      <c r="AF25" s="3"/>
      <c r="AG25" s="3"/>
    </row>
    <row r="26" spans="1:33" ht="100.8">
      <c r="A26" s="1">
        <v>25</v>
      </c>
      <c r="B26" s="1" t="s">
        <v>355</v>
      </c>
      <c r="C26" s="1">
        <v>2024</v>
      </c>
      <c r="D26" s="1" t="s">
        <v>356</v>
      </c>
      <c r="E26" s="1" t="s">
        <v>33</v>
      </c>
      <c r="F26" s="1" t="s">
        <v>357</v>
      </c>
      <c r="G26" s="1" t="s">
        <v>35</v>
      </c>
      <c r="H26" s="2">
        <v>96.2</v>
      </c>
      <c r="I26" s="2">
        <v>93.4</v>
      </c>
      <c r="J26" s="2"/>
      <c r="K26" s="2"/>
      <c r="L26" s="2"/>
      <c r="M26" s="2"/>
      <c r="N26" s="2"/>
      <c r="O26" s="2"/>
      <c r="P26" s="2"/>
      <c r="Q26" s="2"/>
      <c r="R26" s="2"/>
      <c r="S26" s="3"/>
      <c r="T26" s="3"/>
      <c r="U26" s="3"/>
      <c r="W26" s="1" t="s">
        <v>358</v>
      </c>
      <c r="X26" s="1" t="s">
        <v>359</v>
      </c>
      <c r="Y26" s="1"/>
      <c r="Z26" s="3" t="s">
        <v>360</v>
      </c>
      <c r="AA26" s="3" t="s">
        <v>361</v>
      </c>
      <c r="AB26" s="3" t="s">
        <v>362</v>
      </c>
      <c r="AC26" s="3" t="s">
        <v>363</v>
      </c>
      <c r="AD26" s="3"/>
      <c r="AE26" s="3"/>
      <c r="AF26" s="3"/>
      <c r="AG26" s="3"/>
    </row>
    <row r="27" spans="1:33" ht="144">
      <c r="A27" s="1">
        <v>26</v>
      </c>
      <c r="B27" s="1" t="s">
        <v>364</v>
      </c>
      <c r="C27" s="1">
        <v>2024</v>
      </c>
      <c r="D27" s="1" t="s">
        <v>365</v>
      </c>
      <c r="E27" s="1" t="s">
        <v>33</v>
      </c>
      <c r="F27" s="1" t="s">
        <v>366</v>
      </c>
      <c r="G27" s="1" t="s">
        <v>35</v>
      </c>
      <c r="H27" s="2" t="s">
        <v>367</v>
      </c>
      <c r="I27" s="2" t="s">
        <v>368</v>
      </c>
      <c r="J27" s="2" t="s">
        <v>369</v>
      </c>
      <c r="K27" s="2"/>
      <c r="L27" s="2"/>
      <c r="M27" s="2"/>
      <c r="N27" s="2"/>
      <c r="O27" s="2"/>
      <c r="P27" s="2"/>
      <c r="Q27" s="2"/>
      <c r="R27" s="2"/>
      <c r="S27" s="3" t="s">
        <v>370</v>
      </c>
      <c r="T27" s="3"/>
      <c r="U27" s="3"/>
      <c r="W27" s="1" t="s">
        <v>371</v>
      </c>
      <c r="X27" s="1" t="s">
        <v>372</v>
      </c>
      <c r="Y27" s="1"/>
      <c r="Z27" s="3" t="s">
        <v>373</v>
      </c>
      <c r="AA27" s="3" t="s">
        <v>374</v>
      </c>
      <c r="AB27" s="3" t="s">
        <v>375</v>
      </c>
      <c r="AC27" s="3" t="s">
        <v>376</v>
      </c>
      <c r="AD27" s="3"/>
      <c r="AE27" s="3"/>
      <c r="AF27" s="3"/>
      <c r="AG27" s="3"/>
    </row>
    <row r="28" spans="1:33" ht="172.8">
      <c r="A28" s="1">
        <v>27</v>
      </c>
      <c r="B28" s="1" t="s">
        <v>377</v>
      </c>
      <c r="C28" s="1">
        <v>2018</v>
      </c>
      <c r="D28" s="1" t="s">
        <v>378</v>
      </c>
      <c r="E28" s="1" t="s">
        <v>33</v>
      </c>
      <c r="F28" s="1" t="s">
        <v>379</v>
      </c>
      <c r="G28" s="1" t="s">
        <v>35</v>
      </c>
      <c r="H28" s="2">
        <v>77.27</v>
      </c>
      <c r="I28" s="2">
        <v>75.56</v>
      </c>
      <c r="J28" s="2"/>
      <c r="K28" s="2">
        <v>16.350000000000001</v>
      </c>
      <c r="L28" s="2"/>
      <c r="M28" s="2"/>
      <c r="N28" s="2"/>
      <c r="O28" s="2"/>
      <c r="P28" s="2"/>
      <c r="Q28" s="2"/>
      <c r="R28" s="2"/>
      <c r="S28" s="3" t="s">
        <v>380</v>
      </c>
      <c r="T28" s="3"/>
      <c r="U28" s="3"/>
      <c r="W28" s="1" t="s">
        <v>381</v>
      </c>
      <c r="X28" s="1" t="s">
        <v>382</v>
      </c>
      <c r="Y28" s="1"/>
      <c r="Z28" s="3" t="s">
        <v>383</v>
      </c>
      <c r="AA28" s="3" t="s">
        <v>384</v>
      </c>
      <c r="AB28" s="3" t="s">
        <v>385</v>
      </c>
      <c r="AC28" s="3" t="s">
        <v>386</v>
      </c>
      <c r="AD28" s="3"/>
      <c r="AE28" s="3"/>
      <c r="AF28" s="3"/>
      <c r="AG28" s="3"/>
    </row>
    <row r="29" spans="1:33" ht="144">
      <c r="A29" s="1">
        <v>28</v>
      </c>
      <c r="B29" s="1" t="s">
        <v>387</v>
      </c>
      <c r="C29" s="1">
        <v>2021</v>
      </c>
      <c r="D29" s="1" t="s">
        <v>388</v>
      </c>
      <c r="E29" s="1" t="s">
        <v>389</v>
      </c>
      <c r="F29" s="1" t="s">
        <v>338</v>
      </c>
      <c r="G29" s="1" t="s">
        <v>184</v>
      </c>
      <c r="H29" s="2"/>
      <c r="I29" s="2"/>
      <c r="J29" s="2"/>
      <c r="K29" s="2"/>
      <c r="L29" s="2"/>
      <c r="M29" s="2"/>
      <c r="N29" s="2"/>
      <c r="O29" s="2"/>
      <c r="P29" s="2"/>
      <c r="Q29" s="2"/>
      <c r="R29" s="2"/>
      <c r="S29" s="3"/>
      <c r="T29" s="3"/>
      <c r="U29" s="3"/>
      <c r="W29" s="1" t="s">
        <v>390</v>
      </c>
      <c r="X29" s="1"/>
      <c r="Y29" s="1"/>
      <c r="Z29" s="3" t="s">
        <v>391</v>
      </c>
      <c r="AA29" s="3" t="s">
        <v>392</v>
      </c>
      <c r="AB29" s="3" t="s">
        <v>393</v>
      </c>
      <c r="AC29" s="3" t="s">
        <v>394</v>
      </c>
      <c r="AD29" s="3"/>
      <c r="AE29" s="3"/>
      <c r="AF29" s="3"/>
      <c r="AG29" s="3"/>
    </row>
    <row r="30" spans="1:33" ht="187.2">
      <c r="A30" s="1">
        <v>29</v>
      </c>
      <c r="B30" s="1" t="s">
        <v>395</v>
      </c>
      <c r="C30" s="1">
        <v>2019</v>
      </c>
      <c r="D30" s="1" t="s">
        <v>396</v>
      </c>
      <c r="E30" s="1" t="s">
        <v>33</v>
      </c>
      <c r="F30" s="1" t="s">
        <v>366</v>
      </c>
      <c r="G30" s="1" t="s">
        <v>35</v>
      </c>
      <c r="H30" s="2">
        <v>91.7</v>
      </c>
      <c r="I30" s="2"/>
      <c r="J30" s="2"/>
      <c r="K30" s="2"/>
      <c r="L30" s="2"/>
      <c r="M30" s="2"/>
      <c r="N30" s="2"/>
      <c r="O30" s="2"/>
      <c r="P30" s="2"/>
      <c r="Q30" s="2"/>
      <c r="R30" s="2"/>
      <c r="S30" s="3" t="s">
        <v>397</v>
      </c>
      <c r="T30" s="3"/>
      <c r="U30" s="3"/>
      <c r="W30" s="1" t="s">
        <v>398</v>
      </c>
      <c r="X30" s="1" t="s">
        <v>399</v>
      </c>
      <c r="Y30" s="1"/>
      <c r="Z30" s="3" t="s">
        <v>400</v>
      </c>
      <c r="AA30" s="3" t="s">
        <v>401</v>
      </c>
      <c r="AB30" s="3" t="s">
        <v>402</v>
      </c>
      <c r="AC30" s="3" t="s">
        <v>403</v>
      </c>
      <c r="AD30" s="3"/>
      <c r="AE30" s="3"/>
      <c r="AF30" s="3"/>
      <c r="AG30" s="3"/>
    </row>
    <row r="31" spans="1:33" ht="172.8">
      <c r="A31" s="1">
        <v>30</v>
      </c>
      <c r="B31" s="1" t="s">
        <v>404</v>
      </c>
      <c r="C31" s="1">
        <v>2016</v>
      </c>
      <c r="D31" s="1" t="s">
        <v>405</v>
      </c>
      <c r="E31" s="1" t="s">
        <v>33</v>
      </c>
      <c r="F31" s="1" t="s">
        <v>406</v>
      </c>
      <c r="G31" s="1" t="s">
        <v>184</v>
      </c>
      <c r="H31" s="2"/>
      <c r="I31" s="2"/>
      <c r="J31" s="2"/>
      <c r="K31" s="2"/>
      <c r="L31" s="2"/>
      <c r="M31" s="2"/>
      <c r="N31" s="2"/>
      <c r="O31" s="2"/>
      <c r="P31" s="2"/>
      <c r="Q31" s="2"/>
      <c r="R31" s="2"/>
      <c r="S31" s="3"/>
      <c r="T31" s="3"/>
      <c r="U31" s="3"/>
      <c r="W31" s="1" t="s">
        <v>407</v>
      </c>
      <c r="X31" s="1" t="s">
        <v>408</v>
      </c>
      <c r="Y31" s="1"/>
      <c r="Z31" s="3" t="s">
        <v>409</v>
      </c>
      <c r="AA31" s="3" t="s">
        <v>410</v>
      </c>
      <c r="AB31" s="3" t="s">
        <v>411</v>
      </c>
      <c r="AC31" s="3" t="s">
        <v>412</v>
      </c>
      <c r="AD31" s="3"/>
      <c r="AE31" s="3"/>
      <c r="AF31" s="3"/>
      <c r="AG31" s="3"/>
    </row>
    <row r="32" spans="1:33" ht="129.6">
      <c r="A32" s="1">
        <v>31</v>
      </c>
      <c r="B32" s="1" t="s">
        <v>413</v>
      </c>
      <c r="C32" s="1">
        <v>2023</v>
      </c>
      <c r="D32" s="1" t="s">
        <v>414</v>
      </c>
      <c r="E32" s="1" t="s">
        <v>415</v>
      </c>
      <c r="F32" s="1" t="s">
        <v>357</v>
      </c>
      <c r="G32" s="1" t="s">
        <v>35</v>
      </c>
      <c r="H32" s="2"/>
      <c r="I32" s="2"/>
      <c r="J32" s="2"/>
      <c r="K32" s="2"/>
      <c r="L32" s="2"/>
      <c r="M32" s="2"/>
      <c r="N32" s="2"/>
      <c r="O32" s="2"/>
      <c r="P32" s="2"/>
      <c r="Q32" s="2"/>
      <c r="R32" s="2"/>
      <c r="S32" s="3"/>
      <c r="T32" s="3"/>
      <c r="U32" s="3"/>
      <c r="W32" s="1" t="s">
        <v>416</v>
      </c>
      <c r="X32" s="1" t="s">
        <v>417</v>
      </c>
      <c r="Y32" s="1"/>
      <c r="Z32" s="3" t="s">
        <v>418</v>
      </c>
      <c r="AA32" s="3" t="s">
        <v>419</v>
      </c>
      <c r="AB32" s="3" t="s">
        <v>420</v>
      </c>
      <c r="AC32" s="3" t="s">
        <v>421</v>
      </c>
      <c r="AD32" s="3"/>
      <c r="AE32" s="3"/>
      <c r="AF32" s="3"/>
      <c r="AG32" s="3"/>
    </row>
    <row r="33" spans="1:33" ht="129.6">
      <c r="A33" s="1">
        <v>32</v>
      </c>
      <c r="B33" s="1" t="s">
        <v>422</v>
      </c>
      <c r="C33" s="1">
        <v>2022</v>
      </c>
      <c r="D33" s="1" t="s">
        <v>423</v>
      </c>
      <c r="E33" s="1" t="s">
        <v>46</v>
      </c>
      <c r="F33" s="1" t="s">
        <v>338</v>
      </c>
      <c r="G33" s="1" t="s">
        <v>184</v>
      </c>
      <c r="H33" s="2"/>
      <c r="I33" s="2"/>
      <c r="J33" s="2"/>
      <c r="K33" s="2"/>
      <c r="L33" s="2"/>
      <c r="M33" s="2"/>
      <c r="N33" s="2"/>
      <c r="O33" s="2"/>
      <c r="P33" s="2"/>
      <c r="Q33" s="2"/>
      <c r="R33" s="2"/>
      <c r="S33" s="3"/>
      <c r="T33" s="3"/>
      <c r="U33" s="3"/>
      <c r="W33" s="1" t="s">
        <v>424</v>
      </c>
      <c r="X33" s="1"/>
      <c r="Y33" s="1"/>
      <c r="Z33" s="3" t="s">
        <v>425</v>
      </c>
      <c r="AA33" s="3" t="s">
        <v>426</v>
      </c>
      <c r="AB33" s="3" t="s">
        <v>427</v>
      </c>
      <c r="AC33" s="3" t="s">
        <v>428</v>
      </c>
      <c r="AD33" s="3"/>
      <c r="AE33" s="3"/>
      <c r="AF33" s="3"/>
      <c r="AG33" s="3"/>
    </row>
    <row r="34" spans="1:33" ht="158.4">
      <c r="A34" s="1">
        <v>33</v>
      </c>
      <c r="B34" s="1" t="s">
        <v>429</v>
      </c>
      <c r="C34" s="1">
        <v>2023</v>
      </c>
      <c r="D34" s="1" t="s">
        <v>430</v>
      </c>
      <c r="E34" s="1" t="s">
        <v>46</v>
      </c>
      <c r="F34" s="1" t="s">
        <v>431</v>
      </c>
      <c r="G34" s="1" t="s">
        <v>184</v>
      </c>
      <c r="H34" s="2"/>
      <c r="I34" s="2"/>
      <c r="J34" s="2"/>
      <c r="K34" s="2"/>
      <c r="L34" s="2"/>
      <c r="M34" s="2"/>
      <c r="N34" s="2"/>
      <c r="O34" s="2"/>
      <c r="P34" s="2"/>
      <c r="Q34" s="2"/>
      <c r="R34" s="2"/>
      <c r="S34" s="3"/>
      <c r="T34" s="3"/>
      <c r="U34" s="3"/>
      <c r="W34" s="1" t="s">
        <v>432</v>
      </c>
      <c r="X34" s="1" t="s">
        <v>433</v>
      </c>
      <c r="Y34" s="1"/>
      <c r="Z34" s="3" t="s">
        <v>434</v>
      </c>
      <c r="AA34" s="3" t="s">
        <v>435</v>
      </c>
      <c r="AB34" s="3" t="s">
        <v>436</v>
      </c>
      <c r="AC34" s="3" t="s">
        <v>437</v>
      </c>
      <c r="AD34" s="3"/>
      <c r="AE34" s="3"/>
      <c r="AF34" s="3"/>
      <c r="AG34" s="3"/>
    </row>
    <row r="35" spans="1:33" ht="144">
      <c r="A35" s="1">
        <v>34</v>
      </c>
      <c r="B35" s="1" t="s">
        <v>438</v>
      </c>
      <c r="C35" s="1">
        <v>2024</v>
      </c>
      <c r="D35" s="1" t="s">
        <v>439</v>
      </c>
      <c r="E35" s="1" t="s">
        <v>46</v>
      </c>
      <c r="F35" s="1" t="s">
        <v>406</v>
      </c>
      <c r="G35" s="1" t="s">
        <v>184</v>
      </c>
      <c r="H35" s="2"/>
      <c r="I35" s="2"/>
      <c r="J35" s="2"/>
      <c r="K35" s="2"/>
      <c r="L35" s="2"/>
      <c r="M35" s="2"/>
      <c r="N35" s="2"/>
      <c r="O35" s="2"/>
      <c r="P35" s="2"/>
      <c r="Q35" s="2"/>
      <c r="R35" s="2"/>
      <c r="S35" s="3"/>
      <c r="T35" s="3"/>
      <c r="U35" s="3"/>
      <c r="W35" s="1" t="s">
        <v>440</v>
      </c>
      <c r="X35" s="1" t="s">
        <v>441</v>
      </c>
      <c r="Y35" s="1"/>
      <c r="Z35" s="3" t="s">
        <v>442</v>
      </c>
      <c r="AA35" s="3" t="s">
        <v>443</v>
      </c>
      <c r="AB35" s="3" t="s">
        <v>444</v>
      </c>
      <c r="AC35" s="3" t="s">
        <v>445</v>
      </c>
      <c r="AD35" s="3"/>
      <c r="AE35" s="3"/>
      <c r="AF35" s="3"/>
      <c r="AG35" s="3"/>
    </row>
    <row r="36" spans="1:33" ht="288">
      <c r="A36" s="1">
        <v>35</v>
      </c>
      <c r="B36" s="1" t="s">
        <v>446</v>
      </c>
      <c r="C36" s="1">
        <v>2024</v>
      </c>
      <c r="D36" s="1" t="s">
        <v>447</v>
      </c>
      <c r="E36" s="1" t="s">
        <v>33</v>
      </c>
      <c r="F36" s="1" t="s">
        <v>366</v>
      </c>
      <c r="G36" s="1" t="s">
        <v>35</v>
      </c>
      <c r="H36" s="2"/>
      <c r="I36" s="2"/>
      <c r="J36" s="2"/>
      <c r="K36" s="2"/>
      <c r="L36" s="2"/>
      <c r="M36" s="2"/>
      <c r="N36" s="2"/>
      <c r="O36" s="2"/>
      <c r="P36" s="2" t="s">
        <v>448</v>
      </c>
      <c r="Q36" s="2"/>
      <c r="R36" s="2" t="s">
        <v>449</v>
      </c>
      <c r="S36" s="3" t="s">
        <v>450</v>
      </c>
      <c r="T36" s="3"/>
      <c r="U36" s="3"/>
      <c r="W36" s="1" t="s">
        <v>451</v>
      </c>
      <c r="X36" s="1"/>
      <c r="Y36" s="1"/>
      <c r="Z36" s="3" t="s">
        <v>452</v>
      </c>
      <c r="AA36" s="3" t="s">
        <v>453</v>
      </c>
      <c r="AB36" s="3" t="s">
        <v>454</v>
      </c>
      <c r="AC36" s="3" t="s">
        <v>455</v>
      </c>
      <c r="AD36" s="3"/>
      <c r="AE36" s="3"/>
      <c r="AF36" s="3"/>
      <c r="AG36" s="3"/>
    </row>
    <row r="37" spans="1:33" ht="409.6">
      <c r="A37" s="1">
        <v>36</v>
      </c>
      <c r="B37" s="1" t="s">
        <v>456</v>
      </c>
      <c r="C37" s="1">
        <v>2023</v>
      </c>
      <c r="D37" s="1" t="s">
        <v>457</v>
      </c>
      <c r="E37" s="1" t="s">
        <v>458</v>
      </c>
      <c r="F37" s="1" t="s">
        <v>459</v>
      </c>
      <c r="G37" s="1" t="s">
        <v>184</v>
      </c>
      <c r="H37" s="2"/>
      <c r="I37" s="2"/>
      <c r="J37" s="2"/>
      <c r="K37" s="2"/>
      <c r="L37" s="2"/>
      <c r="M37" s="2"/>
      <c r="N37" s="2"/>
      <c r="O37" s="2"/>
      <c r="P37" s="2"/>
      <c r="Q37" s="2"/>
      <c r="R37" s="2"/>
      <c r="S37" s="3"/>
      <c r="T37" s="3"/>
      <c r="U37" s="3"/>
      <c r="W37" s="1" t="s">
        <v>460</v>
      </c>
      <c r="X37" s="1" t="s">
        <v>461</v>
      </c>
      <c r="Y37" s="1"/>
      <c r="Z37" s="3" t="s">
        <v>462</v>
      </c>
      <c r="AA37" s="3" t="s">
        <v>463</v>
      </c>
      <c r="AB37" s="3" t="s">
        <v>464</v>
      </c>
      <c r="AC37" s="3" t="s">
        <v>465</v>
      </c>
      <c r="AD37" s="3"/>
      <c r="AE37" s="3"/>
      <c r="AF37" s="3"/>
      <c r="AG37" s="3"/>
    </row>
    <row r="38" spans="1:33" ht="273.60000000000002">
      <c r="A38" s="1">
        <v>37</v>
      </c>
      <c r="B38" s="1" t="s">
        <v>466</v>
      </c>
      <c r="C38" s="1">
        <v>2022</v>
      </c>
      <c r="D38" s="1" t="s">
        <v>467</v>
      </c>
      <c r="E38" s="1" t="s">
        <v>468</v>
      </c>
      <c r="F38" s="1" t="s">
        <v>357</v>
      </c>
      <c r="G38" s="1" t="s">
        <v>35</v>
      </c>
      <c r="H38" s="2" t="s">
        <v>469</v>
      </c>
      <c r="I38" s="2" t="s">
        <v>470</v>
      </c>
      <c r="J38" s="2" t="s">
        <v>471</v>
      </c>
      <c r="K38" s="2"/>
      <c r="L38" s="2"/>
      <c r="M38" s="2"/>
      <c r="N38" s="2"/>
      <c r="O38" s="2"/>
      <c r="P38" s="2"/>
      <c r="Q38" s="2"/>
      <c r="R38" s="2"/>
      <c r="S38" s="3" t="s">
        <v>472</v>
      </c>
      <c r="T38" s="3" t="s">
        <v>473</v>
      </c>
      <c r="U38" s="3"/>
      <c r="W38" s="1" t="s">
        <v>474</v>
      </c>
      <c r="X38" s="1"/>
      <c r="Y38" s="1"/>
      <c r="Z38" s="3" t="s">
        <v>475</v>
      </c>
      <c r="AA38" s="3" t="s">
        <v>476</v>
      </c>
      <c r="AB38" s="3" t="s">
        <v>477</v>
      </c>
      <c r="AC38" s="3" t="s">
        <v>478</v>
      </c>
      <c r="AD38" s="3"/>
      <c r="AE38" s="3"/>
      <c r="AF38" s="3"/>
      <c r="AG38" s="3"/>
    </row>
    <row r="39" spans="1:33" ht="187.2">
      <c r="A39" s="1">
        <v>38</v>
      </c>
      <c r="B39" s="1" t="s">
        <v>479</v>
      </c>
      <c r="C39" s="1">
        <v>2020</v>
      </c>
      <c r="D39" s="1" t="s">
        <v>480</v>
      </c>
      <c r="E39" s="1" t="s">
        <v>46</v>
      </c>
      <c r="F39" s="1" t="s">
        <v>481</v>
      </c>
      <c r="G39" s="1" t="s">
        <v>184</v>
      </c>
      <c r="H39" s="2"/>
      <c r="I39" s="2"/>
      <c r="J39" s="2"/>
      <c r="K39" s="2"/>
      <c r="L39" s="2"/>
      <c r="M39" s="2"/>
      <c r="N39" s="2"/>
      <c r="O39" s="2"/>
      <c r="P39" s="2"/>
      <c r="Q39" s="2"/>
      <c r="R39" s="2"/>
      <c r="S39" s="3"/>
      <c r="T39" s="3"/>
      <c r="U39" s="3"/>
      <c r="W39" s="1" t="s">
        <v>482</v>
      </c>
      <c r="X39" s="1"/>
      <c r="Y39" s="1"/>
      <c r="Z39" s="3" t="s">
        <v>483</v>
      </c>
      <c r="AA39" s="3" t="s">
        <v>484</v>
      </c>
      <c r="AB39" s="3" t="s">
        <v>485</v>
      </c>
      <c r="AC39" s="3" t="s">
        <v>486</v>
      </c>
      <c r="AE39" s="3"/>
      <c r="AF39" s="3"/>
      <c r="AG39" s="3"/>
    </row>
    <row r="40" spans="1:33" ht="129.6">
      <c r="A40" s="1">
        <v>39</v>
      </c>
      <c r="B40" s="1" t="s">
        <v>487</v>
      </c>
      <c r="C40" s="1">
        <v>2022</v>
      </c>
      <c r="D40" s="1" t="s">
        <v>488</v>
      </c>
      <c r="E40" s="1" t="s">
        <v>489</v>
      </c>
      <c r="F40" s="1" t="s">
        <v>490</v>
      </c>
      <c r="G40" s="1" t="s">
        <v>184</v>
      </c>
      <c r="H40" s="2"/>
      <c r="I40" s="2"/>
      <c r="J40" s="2"/>
      <c r="K40" s="2"/>
      <c r="L40" s="2"/>
      <c r="M40" s="2"/>
      <c r="N40" s="2"/>
      <c r="O40" s="2"/>
      <c r="P40" s="2"/>
      <c r="Q40" s="2"/>
      <c r="R40" s="2"/>
      <c r="S40" s="3"/>
      <c r="T40" s="3"/>
      <c r="U40" s="3"/>
      <c r="W40" s="1" t="s">
        <v>491</v>
      </c>
      <c r="X40" s="1" t="s">
        <v>492</v>
      </c>
      <c r="Y40" s="1"/>
      <c r="Z40" s="3" t="s">
        <v>493</v>
      </c>
      <c r="AA40" s="3" t="s">
        <v>494</v>
      </c>
      <c r="AB40" s="3" t="s">
        <v>495</v>
      </c>
      <c r="AC40" s="3" t="s">
        <v>496</v>
      </c>
      <c r="AE40" s="3"/>
      <c r="AF40" s="3"/>
      <c r="AG40" s="3"/>
    </row>
    <row r="41" spans="1:33" ht="201.6">
      <c r="A41" s="1">
        <v>40</v>
      </c>
      <c r="B41" s="1" t="s">
        <v>497</v>
      </c>
      <c r="C41" s="1">
        <v>2024</v>
      </c>
      <c r="D41" s="1" t="s">
        <v>498</v>
      </c>
      <c r="E41" s="1" t="s">
        <v>499</v>
      </c>
      <c r="F41" s="1" t="s">
        <v>406</v>
      </c>
      <c r="G41" s="1" t="s">
        <v>35</v>
      </c>
      <c r="H41" s="2"/>
      <c r="I41" s="2"/>
      <c r="J41" s="2"/>
      <c r="K41" s="2"/>
      <c r="L41" s="2"/>
      <c r="M41" s="2"/>
      <c r="N41" s="2"/>
      <c r="O41" s="2"/>
      <c r="P41" s="2"/>
      <c r="Q41" s="2"/>
      <c r="R41" s="2"/>
      <c r="S41" s="3"/>
      <c r="T41" s="3"/>
      <c r="U41" s="3"/>
      <c r="W41" s="1" t="s">
        <v>500</v>
      </c>
      <c r="X41" s="1" t="s">
        <v>501</v>
      </c>
      <c r="Y41" s="1"/>
      <c r="Z41" s="3" t="s">
        <v>502</v>
      </c>
      <c r="AA41" s="3" t="s">
        <v>503</v>
      </c>
      <c r="AB41" s="3" t="s">
        <v>504</v>
      </c>
      <c r="AC41" s="3" t="s">
        <v>505</v>
      </c>
      <c r="AE41" s="3"/>
      <c r="AF41" s="3"/>
      <c r="AG41" s="3"/>
    </row>
    <row r="42" spans="1:33" ht="259.2">
      <c r="A42" s="1">
        <v>41</v>
      </c>
      <c r="B42" s="1" t="s">
        <v>506</v>
      </c>
      <c r="C42" s="1">
        <v>2024</v>
      </c>
      <c r="D42" s="1" t="s">
        <v>507</v>
      </c>
      <c r="E42" s="1" t="s">
        <v>33</v>
      </c>
      <c r="F42" s="1" t="s">
        <v>347</v>
      </c>
      <c r="G42" s="1" t="s">
        <v>35</v>
      </c>
      <c r="H42" s="2">
        <v>88.3</v>
      </c>
      <c r="I42" s="2">
        <v>89.3</v>
      </c>
      <c r="J42" s="2"/>
      <c r="K42" s="2">
        <v>92.3</v>
      </c>
      <c r="L42" s="2"/>
      <c r="M42" s="2"/>
      <c r="N42" s="2"/>
      <c r="O42" s="2"/>
      <c r="P42" s="2"/>
      <c r="Q42" s="2"/>
      <c r="R42" s="2"/>
      <c r="S42" s="3" t="s">
        <v>508</v>
      </c>
      <c r="T42" s="3"/>
      <c r="U42" s="3"/>
      <c r="W42" s="1" t="s">
        <v>509</v>
      </c>
      <c r="X42" s="1" t="s">
        <v>510</v>
      </c>
      <c r="Y42" s="1"/>
      <c r="Z42" s="3" t="s">
        <v>511</v>
      </c>
      <c r="AA42" s="3" t="s">
        <v>512</v>
      </c>
      <c r="AB42" s="3" t="s">
        <v>513</v>
      </c>
      <c r="AC42" s="3" t="s">
        <v>514</v>
      </c>
      <c r="AE42" s="3"/>
      <c r="AF42" s="3"/>
      <c r="AG42" s="3"/>
    </row>
    <row r="43" spans="1:33" ht="100.8">
      <c r="A43" s="1">
        <v>42</v>
      </c>
      <c r="B43" s="1" t="s">
        <v>515</v>
      </c>
      <c r="C43" s="1">
        <v>2022</v>
      </c>
      <c r="D43" s="1" t="s">
        <v>516</v>
      </c>
      <c r="E43" s="1" t="s">
        <v>33</v>
      </c>
      <c r="F43" s="1" t="s">
        <v>347</v>
      </c>
      <c r="G43" s="1" t="s">
        <v>35</v>
      </c>
      <c r="H43" s="2"/>
      <c r="I43" s="2"/>
      <c r="J43" s="2"/>
      <c r="K43" s="2"/>
      <c r="L43" s="2"/>
      <c r="M43" s="2"/>
      <c r="N43" s="2"/>
      <c r="O43" s="2"/>
      <c r="P43" s="2"/>
      <c r="Q43" s="2"/>
      <c r="R43" s="2"/>
      <c r="S43" s="3"/>
      <c r="T43" s="3"/>
      <c r="U43" s="3" t="s">
        <v>517</v>
      </c>
      <c r="W43" s="1" t="s">
        <v>518</v>
      </c>
      <c r="X43" s="1" t="s">
        <v>519</v>
      </c>
      <c r="Y43" s="1"/>
      <c r="Z43" s="3" t="s">
        <v>520</v>
      </c>
      <c r="AA43" s="3" t="s">
        <v>521</v>
      </c>
      <c r="AB43" s="3" t="s">
        <v>522</v>
      </c>
      <c r="AC43" s="3" t="s">
        <v>523</v>
      </c>
      <c r="AE43" s="3"/>
      <c r="AF43" s="3"/>
      <c r="AG43" s="3"/>
    </row>
    <row r="44" spans="1:33" ht="240.75" customHeight="1">
      <c r="A44" s="1">
        <v>43</v>
      </c>
      <c r="B44" s="1" t="s">
        <v>524</v>
      </c>
      <c r="C44" s="1">
        <v>2018</v>
      </c>
      <c r="D44" s="1" t="s">
        <v>525</v>
      </c>
      <c r="E44" s="6" t="s">
        <v>33</v>
      </c>
      <c r="F44" s="1" t="s">
        <v>347</v>
      </c>
      <c r="G44" s="1" t="s">
        <v>35</v>
      </c>
      <c r="H44" s="7"/>
      <c r="I44" s="8"/>
      <c r="J44" s="8"/>
      <c r="N44" s="7"/>
      <c r="O44" s="7"/>
      <c r="T44" s="7"/>
      <c r="AA44" s="9" t="s">
        <v>526</v>
      </c>
      <c r="AB44" s="9" t="s">
        <v>527</v>
      </c>
      <c r="AC44" s="10" t="s">
        <v>528</v>
      </c>
    </row>
    <row r="45" spans="1:33" ht="151.19999999999999">
      <c r="A45" s="1">
        <v>44</v>
      </c>
      <c r="B45" s="11" t="s">
        <v>529</v>
      </c>
      <c r="C45" s="12">
        <v>2021</v>
      </c>
      <c r="D45" s="13" t="s">
        <v>530</v>
      </c>
      <c r="E45" s="14" t="s">
        <v>531</v>
      </c>
      <c r="F45" s="1" t="s">
        <v>379</v>
      </c>
      <c r="G45" s="15"/>
      <c r="H45" s="16"/>
      <c r="I45" s="15"/>
      <c r="J45" s="8"/>
      <c r="K45" s="8"/>
      <c r="AA45" s="8" t="s">
        <v>532</v>
      </c>
      <c r="AB45" s="8" t="s">
        <v>533</v>
      </c>
      <c r="AC45" s="8" t="s">
        <v>534</v>
      </c>
    </row>
    <row r="46" spans="1:33" ht="308.39999999999998" customHeight="1">
      <c r="A46" s="1">
        <v>45</v>
      </c>
      <c r="B46" s="11" t="s">
        <v>535</v>
      </c>
      <c r="C46" s="12">
        <v>2025</v>
      </c>
      <c r="D46" s="13" t="s">
        <v>536</v>
      </c>
      <c r="E46" s="6" t="s">
        <v>33</v>
      </c>
      <c r="F46" s="1" t="s">
        <v>379</v>
      </c>
      <c r="G46" s="17"/>
      <c r="H46" s="16"/>
      <c r="I46" s="18"/>
      <c r="J46" s="8"/>
      <c r="K46" s="8"/>
      <c r="AA46" s="8" t="s">
        <v>537</v>
      </c>
      <c r="AB46" s="8" t="s">
        <v>538</v>
      </c>
      <c r="AC46" s="19" t="s">
        <v>539</v>
      </c>
    </row>
    <row r="47" spans="1:33">
      <c r="A47">
        <f>COUNT(A2:A46)</f>
        <v>45</v>
      </c>
      <c r="S47" s="3"/>
      <c r="T47" s="3"/>
      <c r="U47" s="3"/>
      <c r="AE47" s="3"/>
      <c r="AF47" s="3"/>
      <c r="AG47" s="3"/>
    </row>
    <row r="48" spans="1:33" ht="160.19999999999999" customHeight="1"/>
    <row r="49" spans="5:33">
      <c r="S49" s="3"/>
      <c r="T49" s="3"/>
      <c r="U49" s="3"/>
      <c r="AE49" s="3"/>
      <c r="AF49" s="3"/>
      <c r="AG49" s="3"/>
    </row>
    <row r="50" spans="5:33">
      <c r="S50" s="3"/>
      <c r="T50" s="3"/>
      <c r="U50" s="3"/>
      <c r="AE50" s="3"/>
      <c r="AF50" s="3"/>
      <c r="AG50" s="3"/>
    </row>
    <row r="51" spans="5:33">
      <c r="S51" s="3"/>
      <c r="T51" s="3"/>
      <c r="U51" s="3"/>
      <c r="AE51" s="3"/>
      <c r="AF51" s="3"/>
      <c r="AG51" s="3"/>
    </row>
    <row r="52" spans="5:33">
      <c r="S52" s="3"/>
      <c r="T52" s="3"/>
      <c r="U52" s="3"/>
      <c r="AE52" s="3"/>
      <c r="AF52" s="3"/>
      <c r="AG52" s="3"/>
    </row>
    <row r="53" spans="5:33">
      <c r="S53" s="3"/>
      <c r="T53" s="3"/>
      <c r="U53" s="3"/>
      <c r="AE53" s="3"/>
      <c r="AF53" s="3"/>
      <c r="AG53" s="3"/>
    </row>
    <row r="54" spans="5:33">
      <c r="S54" s="3"/>
      <c r="T54" s="3"/>
      <c r="U54" s="3"/>
      <c r="AE54" s="3"/>
      <c r="AF54" s="3"/>
      <c r="AG54" s="3"/>
    </row>
    <row r="55" spans="5:33">
      <c r="S55" s="3"/>
      <c r="T55" s="3"/>
      <c r="U55" s="3"/>
      <c r="AE55" s="3"/>
      <c r="AF55" s="3"/>
      <c r="AG55" s="3"/>
    </row>
    <row r="56" spans="5:33">
      <c r="H56" t="s">
        <v>540</v>
      </c>
      <c r="S56" s="20"/>
      <c r="T56" s="3"/>
      <c r="U56" s="3"/>
      <c r="AE56" s="3"/>
      <c r="AF56" s="3"/>
      <c r="AG56" s="3"/>
    </row>
    <row r="57" spans="5:33">
      <c r="S57" s="20"/>
      <c r="T57" s="3"/>
      <c r="U57" s="3"/>
    </row>
    <row r="58" spans="5:33">
      <c r="S58" s="20"/>
      <c r="T58" s="3"/>
      <c r="U58" s="3"/>
    </row>
    <row r="59" spans="5:33">
      <c r="E59" t="s">
        <v>541</v>
      </c>
      <c r="S59" s="20"/>
      <c r="T59" s="3"/>
      <c r="U59" s="3"/>
    </row>
    <row r="60" spans="5:33">
      <c r="S60" s="20"/>
      <c r="T60" s="3"/>
      <c r="U60" s="3"/>
    </row>
    <row r="61" spans="5:33">
      <c r="F61" s="21" t="s">
        <v>542</v>
      </c>
      <c r="G61" s="21"/>
      <c r="H61" s="21"/>
      <c r="I61" s="21"/>
      <c r="J61" s="21"/>
      <c r="K61" s="21"/>
      <c r="S61" s="20"/>
      <c r="T61" s="3"/>
      <c r="U61" s="3"/>
    </row>
    <row r="62" spans="5:33">
      <c r="G62" s="22" t="s">
        <v>543</v>
      </c>
      <c r="H62" s="22" t="s">
        <v>544</v>
      </c>
      <c r="I62" s="22" t="s">
        <v>545</v>
      </c>
      <c r="J62" s="22" t="s">
        <v>546</v>
      </c>
      <c r="K62" s="22" t="s">
        <v>0</v>
      </c>
      <c r="S62" s="20"/>
      <c r="T62" s="3"/>
      <c r="U62" s="3"/>
    </row>
    <row r="63" spans="5:33">
      <c r="F63" t="s">
        <v>547</v>
      </c>
      <c r="G63" s="22">
        <v>2</v>
      </c>
      <c r="H63" s="22">
        <v>89.6</v>
      </c>
      <c r="I63" s="22" t="s">
        <v>548</v>
      </c>
      <c r="J63" s="22"/>
      <c r="K63" s="23" t="s">
        <v>549</v>
      </c>
      <c r="S63" s="20"/>
    </row>
    <row r="64" spans="5:33">
      <c r="F64" t="s">
        <v>550</v>
      </c>
      <c r="G64" s="22">
        <v>3</v>
      </c>
      <c r="H64" s="22">
        <v>88.27</v>
      </c>
      <c r="I64" s="22" t="s">
        <v>551</v>
      </c>
      <c r="J64" s="22"/>
      <c r="K64" s="23" t="s">
        <v>552</v>
      </c>
      <c r="S64" s="20"/>
    </row>
    <row r="65" spans="6:19">
      <c r="F65" t="s">
        <v>553</v>
      </c>
      <c r="G65" s="22" t="s">
        <v>554</v>
      </c>
      <c r="H65" s="22" t="s">
        <v>554</v>
      </c>
      <c r="I65" s="22" t="s">
        <v>554</v>
      </c>
      <c r="J65" s="22" t="s">
        <v>554</v>
      </c>
      <c r="K65" s="22" t="s">
        <v>554</v>
      </c>
      <c r="S65" s="20"/>
    </row>
    <row r="66" spans="6:19">
      <c r="F66" t="s">
        <v>555</v>
      </c>
      <c r="G66" s="22">
        <v>5</v>
      </c>
      <c r="H66" s="22">
        <v>85.27</v>
      </c>
      <c r="I66" s="22" t="s">
        <v>556</v>
      </c>
      <c r="J66" s="22"/>
      <c r="K66" s="23" t="s">
        <v>557</v>
      </c>
    </row>
    <row r="67" spans="6:19">
      <c r="F67" t="s">
        <v>558</v>
      </c>
      <c r="G67" s="22">
        <v>3</v>
      </c>
      <c r="H67" s="22">
        <v>83.34</v>
      </c>
      <c r="I67" s="22" t="s">
        <v>559</v>
      </c>
      <c r="J67" s="22"/>
      <c r="K67" s="23" t="s">
        <v>560</v>
      </c>
    </row>
    <row r="68" spans="6:19">
      <c r="F68" t="s">
        <v>561</v>
      </c>
      <c r="G68" s="22">
        <v>4</v>
      </c>
      <c r="H68" s="22">
        <v>85.93</v>
      </c>
      <c r="I68" s="22" t="s">
        <v>562</v>
      </c>
      <c r="J68" s="22"/>
      <c r="K68" s="23" t="s">
        <v>563</v>
      </c>
    </row>
    <row r="70" spans="6:19">
      <c r="F70" s="22" t="s">
        <v>564</v>
      </c>
      <c r="G70" s="22"/>
      <c r="H70" s="22"/>
      <c r="I70" s="22"/>
      <c r="J70" s="22"/>
      <c r="K70" s="22"/>
    </row>
    <row r="71" spans="6:19">
      <c r="G71" s="22" t="s">
        <v>543</v>
      </c>
      <c r="H71" s="22" t="s">
        <v>544</v>
      </c>
      <c r="I71" s="22" t="s">
        <v>545</v>
      </c>
      <c r="J71" s="22" t="s">
        <v>546</v>
      </c>
      <c r="K71" s="22" t="s">
        <v>0</v>
      </c>
    </row>
    <row r="72" spans="6:19">
      <c r="F72" t="s">
        <v>547</v>
      </c>
      <c r="G72" s="22">
        <v>5</v>
      </c>
      <c r="H72" s="24">
        <f>($H$2+$H$5+$H$7+$H$8+$H$12+$H$17+$H$21)/G72</f>
        <v>90.88000000000001</v>
      </c>
      <c r="I72" s="22" t="s">
        <v>565</v>
      </c>
      <c r="J72" s="22"/>
      <c r="K72" s="23" t="s">
        <v>566</v>
      </c>
    </row>
    <row r="73" spans="6:19">
      <c r="F73" t="s">
        <v>550</v>
      </c>
      <c r="G73" s="22">
        <v>3</v>
      </c>
      <c r="H73" s="24">
        <f>($I$2+$I$5+$I$7+$I$8+$I$12+$I$17+$I$21)/G73</f>
        <v>97.233333333333334</v>
      </c>
      <c r="I73" s="22" t="s">
        <v>567</v>
      </c>
      <c r="J73" s="22"/>
      <c r="K73" s="23" t="s">
        <v>568</v>
      </c>
    </row>
    <row r="74" spans="6:19">
      <c r="F74" t="s">
        <v>553</v>
      </c>
      <c r="G74" s="22">
        <v>2</v>
      </c>
      <c r="H74" s="24">
        <f>($J$2+$J$5+$J$7+$J$8+$J$12+$J$17+$J$21)/G74</f>
        <v>86.2</v>
      </c>
      <c r="I74" s="22" t="s">
        <v>569</v>
      </c>
      <c r="J74" s="22"/>
      <c r="K74" s="23" t="s">
        <v>570</v>
      </c>
    </row>
    <row r="75" spans="6:19">
      <c r="F75" t="s">
        <v>555</v>
      </c>
      <c r="G75" s="22">
        <v>1</v>
      </c>
      <c r="H75" s="24">
        <f>($K$2+$K$5+$K$7+$K$8+$K$12+$K$17+$K$21)/G75</f>
        <v>90.7</v>
      </c>
      <c r="I75" s="22" t="s">
        <v>554</v>
      </c>
      <c r="J75" s="22"/>
      <c r="K75" s="23">
        <v>7</v>
      </c>
    </row>
    <row r="76" spans="6:19">
      <c r="F76" t="s">
        <v>558</v>
      </c>
      <c r="G76" s="22" t="s">
        <v>554</v>
      </c>
      <c r="H76" s="22" t="s">
        <v>554</v>
      </c>
      <c r="I76" s="22" t="s">
        <v>554</v>
      </c>
      <c r="J76" s="22" t="s">
        <v>554</v>
      </c>
      <c r="K76" s="22" t="s">
        <v>554</v>
      </c>
    </row>
    <row r="77" spans="6:19">
      <c r="F77" t="s">
        <v>561</v>
      </c>
      <c r="G77" s="22" t="s">
        <v>554</v>
      </c>
      <c r="H77" s="22" t="s">
        <v>554</v>
      </c>
      <c r="I77" s="22" t="s">
        <v>554</v>
      </c>
      <c r="J77" s="22" t="s">
        <v>554</v>
      </c>
      <c r="K77" s="22" t="s">
        <v>554</v>
      </c>
    </row>
    <row r="79" spans="6:19">
      <c r="F79" s="22" t="s">
        <v>571</v>
      </c>
      <c r="G79" s="22"/>
      <c r="H79" s="22"/>
      <c r="I79" s="22"/>
      <c r="J79" s="22"/>
      <c r="K79" s="22"/>
    </row>
    <row r="80" spans="6:19">
      <c r="G80" s="22" t="s">
        <v>543</v>
      </c>
      <c r="H80" s="22" t="s">
        <v>544</v>
      </c>
      <c r="I80" s="22" t="s">
        <v>545</v>
      </c>
      <c r="J80" s="22" t="s">
        <v>546</v>
      </c>
      <c r="K80" s="22" t="s">
        <v>0</v>
      </c>
    </row>
    <row r="81" spans="6:30">
      <c r="F81" t="s">
        <v>547</v>
      </c>
      <c r="G81" s="22">
        <v>2</v>
      </c>
      <c r="H81" s="24">
        <f>($H$13+$H$19+$H$20)/G81</f>
        <v>94.525000000000006</v>
      </c>
      <c r="I81" s="22" t="s">
        <v>572</v>
      </c>
      <c r="J81" s="22"/>
      <c r="K81" s="23" t="s">
        <v>573</v>
      </c>
    </row>
    <row r="82" spans="6:30">
      <c r="F82" t="s">
        <v>550</v>
      </c>
      <c r="G82" s="22">
        <v>1</v>
      </c>
      <c r="H82" s="24">
        <f>($I$13+$I$19+$I$20)/G82</f>
        <v>61.6</v>
      </c>
      <c r="I82" s="22" t="s">
        <v>554</v>
      </c>
      <c r="J82" s="22"/>
      <c r="K82" s="23">
        <v>19</v>
      </c>
    </row>
    <row r="83" spans="6:30">
      <c r="F83" t="s">
        <v>553</v>
      </c>
      <c r="G83" s="22">
        <v>1</v>
      </c>
      <c r="H83" s="24">
        <f>($J$13+$J$19+$J$20)/G83</f>
        <v>79.5</v>
      </c>
      <c r="I83" s="22" t="s">
        <v>554</v>
      </c>
      <c r="J83" s="22"/>
      <c r="K83" s="23">
        <v>19</v>
      </c>
    </row>
    <row r="84" spans="6:30">
      <c r="F84" t="s">
        <v>555</v>
      </c>
      <c r="G84" s="22">
        <v>1</v>
      </c>
      <c r="H84" s="24">
        <f>($K$13+$K$19+$K$20)/G84</f>
        <v>90</v>
      </c>
      <c r="I84" s="22" t="s">
        <v>554</v>
      </c>
      <c r="J84" s="22"/>
      <c r="K84" s="23">
        <v>12</v>
      </c>
    </row>
    <row r="85" spans="6:30">
      <c r="F85" t="s">
        <v>558</v>
      </c>
      <c r="G85" s="22">
        <v>1</v>
      </c>
      <c r="H85" s="24">
        <f>($L$13+$L$19+$L$20)/G85</f>
        <v>77.400000000000006</v>
      </c>
      <c r="I85" s="22" t="s">
        <v>554</v>
      </c>
      <c r="J85" s="22"/>
      <c r="K85" s="23">
        <v>12</v>
      </c>
    </row>
    <row r="86" spans="6:30">
      <c r="F86" t="s">
        <v>561</v>
      </c>
      <c r="G86" s="22" t="s">
        <v>554</v>
      </c>
      <c r="H86" s="22" t="s">
        <v>554</v>
      </c>
      <c r="I86" s="22" t="s">
        <v>554</v>
      </c>
      <c r="J86" s="22" t="s">
        <v>554</v>
      </c>
      <c r="K86" s="22" t="s">
        <v>554</v>
      </c>
    </row>
    <row r="88" spans="6:30" ht="9.6" customHeight="1">
      <c r="Z88" s="25" t="s">
        <v>574</v>
      </c>
      <c r="AA88" s="25" t="s">
        <v>575</v>
      </c>
      <c r="AD88" s="25" t="s">
        <v>576</v>
      </c>
    </row>
  </sheetData>
  <mergeCells count="1">
    <mergeCell ref="F61:K6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Base_Datos_REFINADA_23_METRICAS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Andrade</dc:creator>
  <cp:lastModifiedBy>Eduardo Andrade</cp:lastModifiedBy>
  <dcterms:created xsi:type="dcterms:W3CDTF">2025-12-19T18:41:41Z</dcterms:created>
  <dcterms:modified xsi:type="dcterms:W3CDTF">2025-12-19T18:42:23Z</dcterms:modified>
</cp:coreProperties>
</file>