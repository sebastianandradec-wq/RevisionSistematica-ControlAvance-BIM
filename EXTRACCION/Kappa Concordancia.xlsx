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\Downloads\"/>
    </mc:Choice>
  </mc:AlternateContent>
  <xr:revisionPtr revIDLastSave="0" documentId="13_ncr:1_{37E24CFA-8C9A-49BF-AEFA-14880F8BA5E5}" xr6:coauthVersionLast="47" xr6:coauthVersionMax="47" xr10:uidLastSave="{00000000-0000-0000-0000-000000000000}"/>
  <bookViews>
    <workbookView xWindow="-108" yWindow="-108" windowWidth="23256" windowHeight="12456" xr2:uid="{1E776700-D66D-4BCE-9E13-2B17F684E36D}"/>
  </bookViews>
  <sheets>
    <sheet name="KAPPA Concorda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20" i="1" s="1"/>
  <c r="D16" i="1" l="1"/>
  <c r="D17" i="1"/>
  <c r="D21" i="1" s="1"/>
  <c r="D18" i="1"/>
  <c r="D19" i="1"/>
  <c r="D22" i="1" l="1"/>
</calcChain>
</file>

<file path=xl/sharedStrings.xml><?xml version="1.0" encoding="utf-8"?>
<sst xmlns="http://schemas.openxmlformats.org/spreadsheetml/2006/main" count="29" uniqueCount="29">
  <si>
    <t>a =</t>
  </si>
  <si>
    <t>b =</t>
  </si>
  <si>
    <t>c =</t>
  </si>
  <si>
    <t>d =</t>
  </si>
  <si>
    <t>N =</t>
  </si>
  <si>
    <t>Concordancias</t>
  </si>
  <si>
    <t>Discrepancias</t>
  </si>
  <si>
    <t>Po =</t>
  </si>
  <si>
    <t>Po: acuerdo observado</t>
  </si>
  <si>
    <t>P1M =</t>
  </si>
  <si>
    <t>P0M =</t>
  </si>
  <si>
    <t>P1A =</t>
  </si>
  <si>
    <t>P0A =</t>
  </si>
  <si>
    <t>Pe =</t>
  </si>
  <si>
    <t xml:space="preserve">Pe:  acuerdo esperado por azar = P1M·P1A + P0M·P0A.
</t>
  </si>
  <si>
    <t>K de Cohen =</t>
  </si>
  <si>
    <t>(Po - Pe)/(1 - Pe)</t>
  </si>
  <si>
    <t>M.T._incluido</t>
  </si>
  <si>
    <t>M.T._excluido</t>
  </si>
  <si>
    <t>S.A._incluido</t>
  </si>
  <si>
    <t>S.A._excluido</t>
  </si>
  <si>
    <t>a: número de artículos que M.T. marco como INCLUIDO y también  INCLUIDOS por S.A.</t>
  </si>
  <si>
    <t>P1M: proporción de INCLUIDOS por M.T.</t>
  </si>
  <si>
    <t>P0M: proporción de EXCLUIDOS por M.T.</t>
  </si>
  <si>
    <t>P1A: proporción de INCLUIDOS por S.A.</t>
  </si>
  <si>
    <t>P0A: proporción de EXCLUIDOS por S.A.</t>
  </si>
  <si>
    <t>b: artículos INCLUIDOS por M.T. pero EXCLUIDOS por S.A. (cambio de decisión hacia excluir).</t>
  </si>
  <si>
    <t>c: artículos EXCLUIDOS por M.T. pero INCLUIDOS por S.A. (cambio de decisión hacia incluir).</t>
  </si>
  <si>
    <t>d:  artículos EXCLUIDOS por M.T. y también EXCLUIDOS por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</si>
</sst>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E0363-18E0-4781-94A7-F295DFB0D4E1}">
  <dimension ref="C3:K22"/>
  <sheetViews>
    <sheetView tabSelected="1" workbookViewId="0">
      <selection activeCell="J14" sqref="J14"/>
    </sheetView>
  </sheetViews>
  <sheetFormatPr baseColWidth="10" defaultRowHeight="14.4" x14ac:dyDescent="0.3"/>
  <cols>
    <col min="3" max="3" width="13" customWidth="1"/>
    <col min="4" max="4" width="5.109375" customWidth="1"/>
    <col min="5" max="5" width="13.33203125" bestFit="1" customWidth="1"/>
  </cols>
  <sheetData>
    <row r="3" spans="3:11" x14ac:dyDescent="0.3">
      <c r="F3" s="1" t="s">
        <v>19</v>
      </c>
      <c r="G3" s="1" t="s">
        <v>20</v>
      </c>
    </row>
    <row r="4" spans="3:11" x14ac:dyDescent="0.3">
      <c r="E4" s="1" t="s">
        <v>17</v>
      </c>
      <c r="F4" s="1">
        <v>10</v>
      </c>
      <c r="G4" s="1">
        <v>4</v>
      </c>
    </row>
    <row r="5" spans="3:11" x14ac:dyDescent="0.3">
      <c r="E5" s="1" t="s">
        <v>18</v>
      </c>
      <c r="F5" s="1">
        <v>1</v>
      </c>
      <c r="G5" s="1">
        <v>10</v>
      </c>
    </row>
    <row r="8" spans="3:11" x14ac:dyDescent="0.3">
      <c r="C8" s="2" t="s">
        <v>0</v>
      </c>
      <c r="D8" s="3">
        <v>10</v>
      </c>
      <c r="E8" s="9" t="s">
        <v>21</v>
      </c>
      <c r="F8" s="9"/>
      <c r="G8" s="9"/>
      <c r="H8" s="9"/>
      <c r="I8" s="9"/>
      <c r="J8" s="9"/>
      <c r="K8" s="9"/>
    </row>
    <row r="9" spans="3:11" x14ac:dyDescent="0.3">
      <c r="C9" s="2" t="s">
        <v>1</v>
      </c>
      <c r="D9" s="3">
        <v>4</v>
      </c>
      <c r="E9" s="9" t="s">
        <v>26</v>
      </c>
      <c r="F9" s="9"/>
      <c r="G9" s="9"/>
      <c r="H9" s="9"/>
      <c r="I9" s="9"/>
      <c r="J9" s="9"/>
      <c r="K9" s="9"/>
    </row>
    <row r="10" spans="3:11" x14ac:dyDescent="0.3">
      <c r="C10" s="2" t="s">
        <v>2</v>
      </c>
      <c r="D10" s="3">
        <v>1</v>
      </c>
      <c r="E10" s="9" t="s">
        <v>27</v>
      </c>
      <c r="F10" s="9"/>
      <c r="G10" s="9"/>
      <c r="H10" s="9"/>
      <c r="I10" s="9"/>
      <c r="J10" s="9"/>
      <c r="K10" s="9"/>
    </row>
    <row r="11" spans="3:11" x14ac:dyDescent="0.3">
      <c r="C11" s="2" t="s">
        <v>3</v>
      </c>
      <c r="D11" s="3">
        <v>10</v>
      </c>
      <c r="E11" s="9" t="s">
        <v>28</v>
      </c>
      <c r="F11" s="9"/>
      <c r="G11" s="9"/>
      <c r="H11" s="9"/>
      <c r="I11" s="9"/>
      <c r="J11" s="9"/>
      <c r="K11" s="9"/>
    </row>
    <row r="12" spans="3:11" x14ac:dyDescent="0.3">
      <c r="C12" s="4"/>
      <c r="D12" s="5"/>
    </row>
    <row r="13" spans="3:11" x14ac:dyDescent="0.3">
      <c r="C13" s="2" t="s">
        <v>4</v>
      </c>
      <c r="D13" s="3">
        <f>D8+D9+D10+D11</f>
        <v>25</v>
      </c>
    </row>
    <row r="14" spans="3:11" x14ac:dyDescent="0.3">
      <c r="C14" s="2" t="s">
        <v>5</v>
      </c>
      <c r="D14" s="3">
        <f>D8+D11</f>
        <v>20</v>
      </c>
    </row>
    <row r="15" spans="3:11" x14ac:dyDescent="0.3">
      <c r="C15" s="2" t="s">
        <v>6</v>
      </c>
      <c r="D15" s="3">
        <f>D9+D10</f>
        <v>5</v>
      </c>
    </row>
    <row r="16" spans="3:11" ht="15" x14ac:dyDescent="0.35">
      <c r="C16" s="2" t="s">
        <v>7</v>
      </c>
      <c r="D16" s="6">
        <f>(D8+D11)/D13</f>
        <v>0.8</v>
      </c>
      <c r="E16" s="8" t="s">
        <v>8</v>
      </c>
      <c r="F16" s="8"/>
      <c r="G16" s="8"/>
      <c r="H16" s="8"/>
      <c r="I16" s="8"/>
      <c r="J16" s="8"/>
      <c r="K16" s="8"/>
    </row>
    <row r="17" spans="3:11" ht="15" x14ac:dyDescent="0.35">
      <c r="C17" s="2" t="s">
        <v>9</v>
      </c>
      <c r="D17" s="3">
        <f>(D8+D9)/D13</f>
        <v>0.56000000000000005</v>
      </c>
      <c r="E17" s="8" t="s">
        <v>22</v>
      </c>
      <c r="F17" s="8"/>
      <c r="G17" s="8"/>
      <c r="H17" s="8"/>
      <c r="I17" s="8"/>
      <c r="J17" s="8"/>
      <c r="K17" s="8"/>
    </row>
    <row r="18" spans="3:11" ht="15" x14ac:dyDescent="0.35">
      <c r="C18" s="2" t="s">
        <v>10</v>
      </c>
      <c r="D18" s="3">
        <f>(D10+D11)/D13</f>
        <v>0.44</v>
      </c>
      <c r="E18" s="8" t="s">
        <v>23</v>
      </c>
      <c r="F18" s="8"/>
      <c r="G18" s="8"/>
      <c r="H18" s="8"/>
      <c r="I18" s="8"/>
      <c r="J18" s="8"/>
      <c r="K18" s="8"/>
    </row>
    <row r="19" spans="3:11" ht="15" x14ac:dyDescent="0.35">
      <c r="C19" s="2" t="s">
        <v>11</v>
      </c>
      <c r="D19" s="3">
        <f>(D8+D10)/D13</f>
        <v>0.44</v>
      </c>
      <c r="E19" s="8" t="s">
        <v>24</v>
      </c>
      <c r="F19" s="8"/>
      <c r="G19" s="8"/>
      <c r="H19" s="8"/>
      <c r="I19" s="8"/>
      <c r="J19" s="8"/>
      <c r="K19" s="8"/>
    </row>
    <row r="20" spans="3:11" ht="15" x14ac:dyDescent="0.35">
      <c r="C20" s="2" t="s">
        <v>12</v>
      </c>
      <c r="D20" s="3">
        <f>(D9+D11)/D13</f>
        <v>0.56000000000000005</v>
      </c>
      <c r="E20" s="8" t="s">
        <v>25</v>
      </c>
      <c r="F20" s="8"/>
      <c r="G20" s="8"/>
      <c r="H20" s="8"/>
      <c r="I20" s="8"/>
      <c r="J20" s="8"/>
      <c r="K20" s="8"/>
    </row>
    <row r="21" spans="3:11" ht="15" x14ac:dyDescent="0.35">
      <c r="C21" s="2" t="s">
        <v>13</v>
      </c>
      <c r="D21" s="3">
        <f>D17*D19+D18*D20</f>
        <v>0.49280000000000007</v>
      </c>
      <c r="E21" s="8" t="s">
        <v>14</v>
      </c>
      <c r="F21" s="8"/>
      <c r="G21" s="8"/>
      <c r="H21" s="8"/>
      <c r="I21" s="8"/>
      <c r="J21" s="8"/>
      <c r="K21" s="8"/>
    </row>
    <row r="22" spans="3:11" x14ac:dyDescent="0.3">
      <c r="C22" s="2" t="s">
        <v>15</v>
      </c>
      <c r="D22" s="7">
        <f>(D16-D21)/(1-D21)</f>
        <v>0.60567823343848592</v>
      </c>
      <c r="E22" s="9" t="s">
        <v>16</v>
      </c>
      <c r="F22" s="9"/>
      <c r="G22" s="9"/>
      <c r="H22" s="9"/>
      <c r="I22" s="9"/>
      <c r="J22" s="9"/>
      <c r="K22" s="9"/>
    </row>
  </sheetData>
  <mergeCells count="11">
    <mergeCell ref="E17:K17"/>
    <mergeCell ref="E8:K8"/>
    <mergeCell ref="E9:K9"/>
    <mergeCell ref="E10:K10"/>
    <mergeCell ref="E11:K11"/>
    <mergeCell ref="E16:K16"/>
    <mergeCell ref="E18:K18"/>
    <mergeCell ref="E19:K19"/>
    <mergeCell ref="E20:K20"/>
    <mergeCell ref="E21:K21"/>
    <mergeCell ref="E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KAPPA Concordancia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Andrade</dc:creator>
  <cp:lastModifiedBy>Eduardo Andrade</cp:lastModifiedBy>
  <dcterms:created xsi:type="dcterms:W3CDTF">2025-12-19T05:21:06Z</dcterms:created>
  <dcterms:modified xsi:type="dcterms:W3CDTF">2025-12-19T18:26:21Z</dcterms:modified>
</cp:coreProperties>
</file>