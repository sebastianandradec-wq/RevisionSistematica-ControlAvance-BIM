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Eduardo\Downloads\"/>
    </mc:Choice>
  </mc:AlternateContent>
  <xr:revisionPtr revIDLastSave="0" documentId="8_{DA3C864C-0028-4A01-8007-D6B004A6255B}" xr6:coauthVersionLast="47" xr6:coauthVersionMax="47" xr10:uidLastSave="{00000000-0000-0000-0000-000000000000}"/>
  <bookViews>
    <workbookView xWindow="-108" yWindow="-108" windowWidth="23256" windowHeight="12456" xr2:uid="{B5311C4E-7237-40F7-8966-C0573A0045F3}"/>
  </bookViews>
  <sheets>
    <sheet name="hoja 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54" i="1" l="1"/>
  <c r="T53" i="1"/>
  <c r="T52" i="1"/>
</calcChain>
</file>

<file path=xl/sharedStrings.xml><?xml version="1.0" encoding="utf-8"?>
<sst xmlns="http://schemas.openxmlformats.org/spreadsheetml/2006/main" count="920" uniqueCount="233">
  <si>
    <t>DATOS BIBLIOGRAFICOS</t>
  </si>
  <si>
    <t>ANALISIS MATIAS TORIBIO</t>
  </si>
  <si>
    <t>ANALISIS SEBASTIAN ANDRADE</t>
  </si>
  <si>
    <t>RESULTADOS</t>
  </si>
  <si>
    <t>JUSTIFICACION DE LOS AUTORES</t>
  </si>
  <si>
    <t>ID</t>
  </si>
  <si>
    <t>TITULO</t>
  </si>
  <si>
    <t>AÑO</t>
  </si>
  <si>
    <t>AUTOR</t>
  </si>
  <si>
    <t>REVISTA</t>
  </si>
  <si>
    <t>Validez Externa</t>
  </si>
  <si>
    <t>Tamaño y Robustez de Muestra</t>
  </si>
  <si>
    <t>Validación Estadística</t>
  </si>
  <si>
    <t>Reproducibilidad</t>
  </si>
  <si>
    <t>Sesgo de Publicación Interno</t>
  </si>
  <si>
    <t>Validéz Externa</t>
  </si>
  <si>
    <t>RoB SEBASTIAN</t>
  </si>
  <si>
    <t>RoB MATIAS</t>
  </si>
  <si>
    <t>RELACION</t>
  </si>
  <si>
    <t>CONCENSO JOSE GORNALL</t>
  </si>
  <si>
    <t>NOTA DE JUSTIFICACIÓN MATIAS TORIBIO</t>
  </si>
  <si>
    <t>NOTA DE JUSTIFICACIÓN SEBASTIAN ANDRADE</t>
  </si>
  <si>
    <t>Integrating geometric models, site images and GIS based on Google Earth</t>
  </si>
  <si>
    <t>LI D;LU M</t>
  </si>
  <si>
    <t>Automation in Construction</t>
  </si>
  <si>
    <t>Medio</t>
  </si>
  <si>
    <t>Alto</t>
  </si>
  <si>
    <t>BAJO</t>
  </si>
  <si>
    <t>MEDIO</t>
  </si>
  <si>
    <t>🟡 Medio</t>
  </si>
  <si>
    <t>Discrepancia</t>
  </si>
  <si>
    <t xml:space="preserve">Validación en megaproyecto (Presa Xiluodu), pero es una demostración de sistema GIS sin validación estadística detallada de detección. </t>
  </si>
  <si>
    <t>El artículo presenta una metodología innovadora bien documentada con casos ilustrativos, pero limitado por muestras pequeñas, adecuado para prototipo pero requiriendo pruebas más robustas</t>
  </si>
  <si>
    <t>BIM and AI Integration for Dynamic Schedule Management: A Practical Framework and Case Study</t>
  </si>
  <si>
    <t>Heap-Yih Chong, Xinyi Yang, Cheng Siew Goh, Yan Luo</t>
  </si>
  <si>
    <t>Buildings</t>
  </si>
  <si>
    <t>Bajo</t>
  </si>
  <si>
    <t>🟢 Bajo</t>
  </si>
  <si>
    <t>Coincidencia</t>
  </si>
  <si>
    <t>Validado en proyecto de 12 pisos. Uso riguroso de ML (LSTM) con métricas de error y datos disponibles bajo solicitud.</t>
  </si>
  <si>
    <t>RoB bajo porque se validó en un proyecto real grande, aunque solo incluye un caso y carece de publicación completa de código y datos, declara limitaciones reconocidas en la aplicación práctica.</t>
  </si>
  <si>
    <t>Real-Time Progress Monitoring of Bricklaying Work using an RGB-D Camera and Synthetic Data</t>
  </si>
  <si>
    <t>Ramez Magdy, Khaled A. Hamdy, y Yasmeen A. S. Essawy</t>
  </si>
  <si>
    <t>Validación en laboratorio con datos sintéticos y reales. Riesgo medio por falta de validación en obra real y código cerrado.</t>
  </si>
  <si>
    <t>ROB Medio porque el estudio presenta una muestra suficiente y métricas de desempeño sólidas, aunque la reproducibilidad queda restringida a datos “bajo solicitud” sin código abierto. Además, se discuten algunas limitaciones pero no se reportan fallos concretos ni campañas extensivas en múltiples proyectos.</t>
  </si>
  <si>
    <t>Automated Progress Monitoring Using Unordered Daily Construction Photographs and IFC-Based Building Information Models</t>
  </si>
  <si>
    <t>MANI GOLPARVAR-FARD, A.M.ASCE1; FENIOSKY PEÑA-MORA, M.ASCE ˜ 2 ; and SILVIO SAVARESE</t>
  </si>
  <si>
    <t>Journal of Computing in Civil Engineering</t>
  </si>
  <si>
    <t>ALTO</t>
  </si>
  <si>
    <t>Estudio seminal validado en proyecto real (Medical Center). Riesgo medio solo por falta de reproducibilidad (datos no públicos).</t>
  </si>
  <si>
    <t>RoB Medio porque utiliza datos reales, métricas sólidas y discute limitaciones. Aunque, la falta de publicación abierta del código/datos y el alcance todavía acotado de la muestra.</t>
  </si>
  <si>
    <t>On-demand monitoring of construction projects through a game-like hybrid reality game</t>
  </si>
  <si>
    <t>Farzad Pour Rahimian a b, Saleh Seyedzadeh c d, Stephen Oliver c d, Sergio Rodriguez a, Nashwan Dawood a</t>
  </si>
  <si>
    <t>Estudio de usabilidad/interacción humana, muestra limitada de usuarios, no monitoreo autónomo masivo.</t>
  </si>
  <si>
    <t>RoB Medio porque solo se aplica en un caso de estudio real, con fuerte dependencia de datos sintéticos y sin métricas cuantitativas.</t>
  </si>
  <si>
    <t>Interior construction state recognition with 4D BIM registered image sequences</t>
  </si>
  <si>
    <t>Christopher Kroppa , Christian Kochb, Markus König</t>
  </si>
  <si>
    <t xml:space="preserve">Buen diseño experimental en entorno real (interiores), riesgo medio por tamaño de muestra limitado y reproducibilidad. </t>
  </si>
  <si>
    <t>RoB Medio porque, aunque prueba el método en obra real y reporta resultados prometedores, lo hace sobre un único caso/entorno, sin disponibilidad de código o datos que permitan reproducir el estudio. Además, la discusión de limitaciones y fallas es parcial, con énfasis en buenos desempeños y sin comparaciones amplias con métodos alternativos</t>
  </si>
  <si>
    <t>Improving progress monitoring by fusing point clouds, semantic data and computer vision</t>
  </si>
  <si>
    <t>Alex Brauna, Sebastian Tuttasb, André Borrmanna, Uwe Stilla</t>
  </si>
  <si>
    <t>Estudio experimental muy sólido en obra real a gran escala (15 meses). Penalizado solo por falta de código abierto.</t>
  </si>
  <si>
    <t>RoB general es Medio porque, aunque se valida en tres obras reales con métricas cuantitativas razonables, no hay disponibilidad de código/datos, y el reporte de fallos y comparaciones sigue siendo limitado.</t>
  </si>
  <si>
    <t>Vision-Based Framework for Automatic Progress Monitoring of Precast Walls by Using Surveillance Videos</t>
  </si>
  <si>
    <t>Zhichen Wang1 ; Qilin Zhang2 ; Bin Yang3 ; Tiankai Wu4 ; Ke Lei5 ; Binghan Zhang6 ; and Tenwei Fang7</t>
  </si>
  <si>
    <t>Validación sólida en obra de prefabricados con gran muestra de video. Penalizado a Medio por código cerrado.</t>
  </si>
  <si>
    <t>RoB se calificó como Medio porque solo se prueba en un proyecto real con tamaño muestral moderado, y sin código/datos completamente abiertos.​
 Además, aunque se reconocen algunas limitaciones, el énfasis está en resultados positivos y no se ofrece un análisis sistemático de fallos ni comparación exhaustiva con métodos alternativos.</t>
  </si>
  <si>
    <t>An object-based 3D walk-through model for interior construction progress monitoring</t>
  </si>
  <si>
    <t>Seungjun Roh, Zeeshan Aziz, Feniosky Peña-Mora</t>
  </si>
  <si>
    <t xml:space="preserve">Validación en obra real, pero penalizado por el tamaño de muestra (&lt;1000) y falta de reproducibilidad (sin datos públicos). </t>
  </si>
  <si>
    <t>RoB Medio porque, aunque propone y demuestra su método en un caso real con 661 fotografías de obra, solo utiliza un proyecto piloto, y no ofrece código ni datos para reproducir los resultados.</t>
  </si>
  <si>
    <t>Automated recognition of 3D CAD model objects in laser scans and calculation of as-built dimensions for dimensional control in construction</t>
  </si>
  <si>
    <t>Frédéric Bosché</t>
  </si>
  <si>
    <t>Advanced Engineering Informatics</t>
  </si>
  <si>
    <t>Validación experimental sólida en proyecto industrial. Penalizado por tamaño de muestra moderado y datos cerrados.</t>
  </si>
  <si>
    <t>RoB Medio porque, aunque se valida en una obra real grande con varios escaneos y métricas detalladas, carece de código/datos reproducibles, y solo usa un proyecto como fuente de datos.</t>
  </si>
  <si>
    <t>Automation of Construction Progress Monitoring by Integrating 3D Point Cloud Data with an IFC-Based BIM Model</t>
  </si>
  <si>
    <t>Paulius Kavaliauskas, Jaime B. Fernandez, Kevin McGuinness, Andrius Jurelionis</t>
  </si>
  <si>
    <t>Construction Research Congress</t>
  </si>
  <si>
    <t>Estudio de caso real, pero carece de validación estadística formal (solo demostración porcentual) y no comparte código/datos.</t>
  </si>
  <si>
    <t>RoB Medio porque, aunque tiene buena validación en obra real y discusión de limitaciones, carece de códigos y datos reproducibles, dando 1 criterio en Alto y 2 criterios bajos.</t>
  </si>
  <si>
    <t>Activity-level construction progress monitoring through semantic segmentation of 3D-informed orthographic images</t>
  </si>
  <si>
    <t>Aritra Pal, Jacob J. Lin, Shang-Hsien Hsieh, Mani Golparvar-Fard</t>
  </si>
  <si>
    <t>Validación robusta en 2 proyectos reales con gran dataset. Métricas estadísticas sólidas y datos disponibles bajo solicitud.</t>
  </si>
  <si>
    <t>RoB Medio porque, aunque usa 2 obras reales, un dataset amplio (2458 imágenes) y métricas cuantitativas claras (mAP, MAE), carece de código/datos abiertos.</t>
  </si>
  <si>
    <t>Augmenting progress monitoring in soil-foundation construction utilizing SOLOv2-based instance segmentation and visual BIM representation</t>
  </si>
  <si>
    <t>Wei Wei, Yujie Lu, Yijun Lin, Ruihan Bai, Yichong Zhang, Haisong Wang, Peixian Li</t>
  </si>
  <si>
    <t>Engineering, Construction and Architectural Mgmt.</t>
  </si>
  <si>
    <t>Caso de estudio único en complejo residencial. Muestra moderada y sin acceso público a los datos generados.</t>
  </si>
  <si>
    <t>RoB Bajo porque se valida en una obra real de gran escala con 1000 imágenes UAV y métricas detalladas, aunque los datos/código no son plenamente abiertos y la evidencia proviene de un único proyecto principal con generalización parcial.</t>
  </si>
  <si>
    <t>Platform-independent visual installation progress monitoring for construction automation</t>
  </si>
  <si>
    <t>Xinge Zhao, Yuxin Jin, Nithish Muthuchamy Selvaraj, Muhammad Ilyas, Chien Chern Cheah</t>
  </si>
  <si>
    <t>Validación sólida en obra real (oficinas), penalizado por tamaño de muestra de elementos y reproducibilidad.</t>
  </si>
  <si>
    <t>RoB Medio porque se probó en laboratorio y en 2 obras reales con varios robots y escenarios, pero no ofrece código ni datos para reproducir los resultados, lo que deja incertidumbre sobre la robustez general de las conclusiones</t>
  </si>
  <si>
    <t>Deep learning-based computer vision in project management: Automating indoor construction progress monitoring</t>
  </si>
  <si>
    <t>Biyanka Ekanayake, Johnny Kwok Wai Wong, Alireza Ahmadian Fard Fini, Peter Smith, Vishal Thengane.</t>
  </si>
  <si>
    <t>Journal of Management in Engineering</t>
  </si>
  <si>
    <t>🔴 Alto</t>
  </si>
  <si>
    <t>Artículo de revisión bibliográfica ("Review"). No aplica a la rúbrica de experimentos de campo.</t>
  </si>
  <si>
    <t>RoB Medio porque se a validado en 3 sitios reales Sydney con 1578 imgs entrenamiento +100 test independientes (mAP 88%), pero datos/código confidenciales por ética UTS; discute limitaciones adecuadamente.</t>
  </si>
  <si>
    <t>Hybrid self-supervised learning-based architecture for construction progress monitoring</t>
  </si>
  <si>
    <t>Varun Kumar Reja, Shreya Goyal, Koshy Varghese, Balaraman Ravindran, Quang Phuc Ha</t>
  </si>
  <si>
    <t xml:space="preserve">Uso de datasets masivos (ImageNet, MCDS) y métricas estadísticas rigurosas. Datos/código referenciados o disponibles. </t>
  </si>
  <si>
    <t>RoB Medio porque se hizo validación parcial en 1 proyecto real + S3DIS indoor, pero los datos se entregan por solicitud; discute limitaciones y comparaciones exhaustivamente.​</t>
  </si>
  <si>
    <t>Monitoring concrete pouring progress using knowledge graph-enhanced computer vision</t>
  </si>
  <si>
    <t>Fabian Pfitzner, Songbo Hu, Alexander Braun, André Borrmann, Yihai Fang</t>
  </si>
  <si>
    <t>Validación sólida en obra de gran altura con video extenso. Riesgo medio por falta de reproducibilidad abierta.</t>
  </si>
  <si>
    <t>RoB Bajo porque realizó una validación en condiciones reales en dos proyectos con métricas claras, pero con un tamaño de muestra moderado. Además, el código y datos están disponibles solo bajo solicitud, aunque se discuten limitaciones y fallos, mostrando un buen balance en el reporte, pero con algunos aspectos que podrían mejorar</t>
  </si>
  <si>
    <t>Neural radiance fields for construction site scene representation and progress evaluation with BIM</t>
  </si>
  <si>
    <t>Yuntae Jeon, Dai Quoc Tran, Khoa Tran Dang Vo, Jaehyun Jeon, Minsoo Park, Seunghee Park</t>
  </si>
  <si>
    <t>Validación en obra con NeRF (masivo en datos), métricas estándar y disponibilidad de arquitectura/datos.</t>
  </si>
  <si>
    <t>RoB Bajo: Validado en 3 escenas reales de obra con métricas claras (IoU, PSNR); muestra robusta de miles de imágenes; código público en GitHub; discute limitaciones y fallos abiertamente.</t>
  </si>
  <si>
    <t>Target Detection Technology of Mechanical, Electrical, and Plumbing Components Based on CV</t>
  </si>
  <si>
    <t>Guohua Wei, Ding Zhou, Xiaojun Yuan</t>
  </si>
  <si>
    <t>Sensors</t>
  </si>
  <si>
    <t>Validación experimental de detección MEP. Riesgo medio por tamaño de muestra moderado y falta de reproducibilidad.</t>
  </si>
  <si>
    <t>RoB Bajo por su validación en escenarios reales (6 BIMs, 250 fotos, ~1000 contornos) y discusión de limitaciones, pero con reproducibilidad parcial (datos por solicitud).</t>
  </si>
  <si>
    <t>Integrated Sequential As-Built and As-Planned Representation with D4AR Tools in Support of Decision-Making Tasks in the AEC/FM Industry</t>
  </si>
  <si>
    <t>Golparvar-Fard, M., Peña-Mora, F., &amp; Savarese, S.</t>
  </si>
  <si>
    <t>Journal of Construction Eng. and Mgmt.</t>
  </si>
  <si>
    <t>Trabajo seminal validado en 2 proyectos. Riesgo medio por estándares de estadística y reproducibilidad de 2011.</t>
  </si>
  <si>
    <t>RoB Medio porque valida su método en dos proyectos reales con un volumen significativo de imágenes y análisis cuantitativo, pero presenta ausencia de código y datos abiertos, y un análisis parcial de sesgos con predominancia de resultados positivos.</t>
  </si>
  <si>
    <t>Towards Automated Measurement of As-Built Components Using Computer Vision</t>
  </si>
  <si>
    <t>Husein Perez y Joseph H. M. Tah</t>
  </si>
  <si>
    <t>Estudio pionero (2009), validación en laboratorio/caso limitado. Métricas menos robustas que estándares actuales.</t>
  </si>
  <si>
    <t>RoB Bajo: Validación en 2 casos reales con métricas detalladas, pero solo 2 muestras, código Python descrito sin acceso público, discute limitaciones extensas</t>
  </si>
  <si>
    <t>Robot-Assisted Object Detection for Construction Automation: Data and Information-Driven Approach</t>
  </si>
  <si>
    <t>Muhammad Ilyas; Hui Ying Khaw; Nithish Muthuchamy Selvaraj; Yuxin Jin; Xinge Zhao; Chien Chern Cheah</t>
  </si>
  <si>
    <t>Validación en sitio real con robot Spot. Dataset extenso y evaluación rigurosa, pero código no disponible.</t>
  </si>
  <si>
    <t>RoB Medio: Mayoría de criterios en Medio (validez externa parcial en obra real, muestra razonable de 5000+ imágenes) con un Alto en reproducibilidad (sin código/datos públicos), sin más Altos</t>
  </si>
  <si>
    <t>Digital technologies for monitoring hazardous area entry in construction sites</t>
  </si>
  <si>
    <t>S.V.-T. Tran; Hai Chien Pham; Quang Tuan Le; Ung-Kyun Lee</t>
  </si>
  <si>
    <t>Validación de sistema BLE/BIM en entorno controlado. Muestra limitada a pruebas específicas, no despliegue masivo.</t>
  </si>
  <si>
    <t>RoB Medio: Revisión sistemática con validaciones mixtas en obra real y lab (Medio), muestra robusta de 81 estudios (Bajo), sin código/datos (Alto), discute limitaciones abiertamente (Bajo)</t>
  </si>
  <si>
    <t>Egocentric-video-based construction quality supervision (EgoConQS): Application of automatic key activity queries</t>
  </si>
  <si>
    <t>Jingjing Guo; Lu Deng; Pengkun Liu; Tao Sun</t>
  </si>
  <si>
    <t>Dataset de video egocéntrico significativo, métricas de visión (IoU, mAP) y reproducibilidad razonable.</t>
  </si>
  <si>
    <t>RoB Bajo porque validó su método con videos reales de obra en múltiples escenarios, usó una muestra amplia y representativa, discutió limitaciones y resultados negativos, aunque no liberó su código fuente completamente pero sí usó datos públicos.</t>
  </si>
  <si>
    <t>Matching design-intent planar, curved, and linear structural instances in point clouds</t>
  </si>
  <si>
    <t>Zhiqi Hu; Ioannis Brilakis</t>
  </si>
  <si>
    <t>Excelente rigor técnico en datasets industriales, riesgo medio por tamaño de muestra (&lt;1000 instancias) y reproducibilidad.</t>
  </si>
  <si>
    <t>RoB Medio porque presenta validación en múltiples casos reales con métricas claras (Bajo), tiene un tamaño y robustez muestral adecuado (Bajo), no evidencia disponibilidad pública de código/datos (Alto), aunque reporta resultados equilibrados con limitaciones discutidas (Bajo).</t>
  </si>
  <si>
    <t>Transformer language model for mapping construction schedule activities to Uniformat categories</t>
  </si>
  <si>
    <t>Yoonhwa Jung; Julia Hockenmaier; Mani Golparvar-Fard</t>
  </si>
  <si>
    <t>Excelente robustez estadística (NLP) con dataset masivo de cronogramas reales. Cumple criterios de riesgo bajo.</t>
  </si>
  <si>
    <t>RoB general se calificó como bajo porque combina una metodología estadística sólida y un tamaño muestral grande con algunas limitaciones en validez externa (solo datos históricos) y en reproducibilidad (datos/código no totalmente abiertos).</t>
  </si>
  <si>
    <t>3D reconstruction of a concrete mixer truck for training object detectors</t>
  </si>
  <si>
    <t>Hongjo Kim; Hyoungkwan Kim</t>
  </si>
  <si>
    <t>Modelo generado de objeto real pero validado en dataset externo (ImageNet). Muestra limitada y sin código abierto.</t>
  </si>
  <si>
    <t>RoB Medio: Validación en 1 camión real con datos sintéticos limitados (4 train, 90 test ImageNet), sin código propio público, pero discute fallos y usa software open-source.</t>
  </si>
  <si>
    <t>Evolution of close-range detection and data acquisition technologies for construction progress monitoring</t>
  </si>
  <si>
    <t>Wesam Salah Alaloul; Abdul Hannan Qureshi; Muhammad Ali Musarat; Syed Saad</t>
  </si>
  <si>
    <t>Revisión exhaustiva de tecnologías. Muestra robusta de literatura revisada. Análisis cualitativo detallado.</t>
  </si>
  <si>
    <t>RoB Bajo, ya que validez externa baja por evidencia agregada de 205 estudios en obra real y muestra robusta. Entrega de datos/codigos y limitaciones de forma parcial</t>
  </si>
  <si>
    <t>Combining inverse photogrammetry and BIM for automated labeling of construction site images</t>
  </si>
  <si>
    <t>Alex Braun, André Borrmann</t>
  </si>
  <si>
    <t>Metodología sólida en sitio real con generación automática de etiquetas. Riesgo medio solo por falta de código abierto.</t>
  </si>
  <si>
    <t>RoB medio porque, pese a validación en múltiples obras reales con &gt;30k elementos y métricas claras (3 Bajos), tiene Alto en reproducibilidad por falta de código público.</t>
  </si>
  <si>
    <t>Potential of big visual data and building information modeling for</t>
  </si>
  <si>
    <t>Kevin K. Han; Mani Golparvar-Fard</t>
  </si>
  <si>
    <t>Artículo de perspectiva/teórico ("Potential of..."). No es una validación experimental.</t>
  </si>
  <si>
    <t>riesgo de sesgo medio porque realizó validación parcial en obra real mediante pilotos cortos, usó una muestra moderada, y no hizo públicos datos ni código, pero discutió algunas limitaciones técnicas.</t>
  </si>
  <si>
    <t>Automating Scan to BIM Operations Using Grasshopper</t>
  </si>
  <si>
    <t>Ifra Aftab; Kristóf Kapitány; Tamás Lovas</t>
  </si>
  <si>
    <t>Journal of The Institution of Engineers (India)</t>
  </si>
  <si>
    <t>Validado en un edificio residencial real, pero con muestra pequeña (1 caso) y sin compartir el script (reproducibilidad).</t>
  </si>
  <si>
    <t>RoB Medio: Se usa un caso real con buena descripción del flujo y resultados, pero solo en un edificio pequeño, sin publicación de código/datos, lo que limita la solidez y reproducibilidad del estudio.</t>
  </si>
  <si>
    <t>Drivers for Digital Twin Adoption in the Construction Industry</t>
  </si>
  <si>
    <t>De-Graft Joe Opoku; Srinath Perera; Robert Osei-Kyei; Maria Rashidi</t>
  </si>
  <si>
    <t>Revisión Sistemática de Literatura (SLR). Clasificado como Alto por no ser estudio experimental.</t>
  </si>
  <si>
    <t>RoB Alto porque la evidencia procede casi exclusivamente de estudios de caso y simulaciones sin validación amplia en obras reales, sin disponibilizar datos ni código para reproducir el análisis, además de centrarse principalmente en resultados positivos sobre los impulsores de adopción de gemelos digitales</t>
  </si>
  <si>
    <t>Mapping Two Decades of AI in Construction Research: A Scientometric Analysis from the Sustainability and Construction Phases Lenses</t>
  </si>
  <si>
    <t>Massimo Regona; Tan Yigitcanlar; Carol K. H. Hon; Melissa Teo</t>
  </si>
  <si>
    <t>Developments in the Built Environment</t>
  </si>
  <si>
    <t>Análisis cienciométrico robusto. Muestra masiva de papers (WoS/Scopus). Metodología reproducible con queries claros.</t>
  </si>
  <si>
    <t>RoB Bajo porque, usa una muestra bibliométrica muy grande y describe bien tendencias y limitaciones, no valida en condiciones de obra real ni ofrece código/datos totalmente abiertos, y la validación estadística es solo descriptiva.</t>
  </si>
  <si>
    <t>Digitization of AEC Industries Based on BIM</t>
  </si>
  <si>
    <t>Karol Zawada; Kinga Rybak-Niedziółka; Mikołaj Donderewicz; Agnieszka Starzyk</t>
  </si>
  <si>
    <t>Sustainability</t>
  </si>
  <si>
    <t>Artículo teórico/revisión general. No apto para evaluación con rúbrica experimental.</t>
  </si>
  <si>
    <t>RoB se calificó como medio porque, aunque la encuesta tiene un tamaño razonable y cierto contexto de práctica real, no ofrece datos/código reproducibles, y varios criterios quedan solo en nivel Medio</t>
  </si>
  <si>
    <t>BIM framework for efficient material procurement planning</t>
  </si>
  <si>
    <t>Mohammadreza Kalantari; Hosein Taghaddos; Mohammadhossein Heydari</t>
  </si>
  <si>
    <t>Journal of Construction Engineering and Management</t>
  </si>
  <si>
    <t>Modelo de optimización matemática/simulación. No es una implementación física en obra con datos sensoriales.</t>
  </si>
  <si>
    <t>RoB Bajo: Se validó en un único caso real grande, con código disponible y buena formulación/validación del modelo, pero sólo un proyecto y resultados mayoritariamente positivos con discusión limitada de fallos, lo que eleva algo el riesgo.</t>
  </si>
  <si>
    <t>Automated vision-based construction progress monitoring in built environment through digital twin</t>
  </si>
  <si>
    <t>Aritra Pal; Jacob J. Lin; Shang-Hsien Hsieh; Mani Golparvar-Fard</t>
  </si>
  <si>
    <t>Estudio sólido en 2 obras reales con &gt;2400 imágenes. Cumple criterios de riesgo bajo en estadística y muestra.</t>
  </si>
  <si>
    <t>RoB Medio porque incluye casos reales y métricas prácticas, pero no publica código/datos abiertos y el tamaño muestral es acotado a pocos estudios de caso.</t>
  </si>
  <si>
    <t>Shape encoding for semantic healing of design models and knowledge transfer to scan-to-BIM</t>
  </si>
  <si>
    <t>Fiona C. Collins; Martin Ringsquandl; Alexander Braun; Daniel M. Hall; Andre Borrmann</t>
  </si>
  <si>
    <t>Validación en datasets sintéticos y reales (ShapeNet) con métricas de Deep Learning rigurosas.</t>
  </si>
  <si>
    <t>RoB Medio porque usa grandes datasets BIM sintéticos (22 proyectos IFC, BIMGeom e IFCNetCore) con buena transparencia, pero carece de validación directa en condiciones de obra real.</t>
  </si>
  <si>
    <t>Investigating U.S. Industry Practitioners’ Perspectives towards the Adoption of Emerging Technologies in Industrialized Construction.</t>
  </si>
  <si>
    <t>Bing Qi; Mohamad Razkenari; Jiaxuan Li; Aaron Costin</t>
  </si>
  <si>
    <t>Encuesta a 105 profesionales (Muestra aceptable para el nicho). Análisis estadístico válido (Kruskal-Wallis). Riesgo medio.</t>
  </si>
  <si>
    <t>RoB Medio: Se basa en datos de obra real y aplica análisis estadísticos robustos sobre 81 encuestas, pero no dispone de datos ni código abiertos, lo que eleva el riesgo en reproducibilidad y evita clasificar el estudio como RoB Bajo.</t>
  </si>
  <si>
    <t>Digital Twins in the Construction Industry: A Perspective of Practitioners and Building Authority</t>
  </si>
  <si>
    <t>Ashtarout Ammar; Hala Nassereddine; Nadine AbdulBaky; Anwar AbouKansour</t>
  </si>
  <si>
    <t>Encuesta a 125 expertos. Muestra razonable. Análisis descriptivo adecuado. Riesgo medio bajo criterios de encuesta.</t>
  </si>
  <si>
    <t>RoB Medio porque, aunque presenta un caso real y entrevistas con profesionales, no pone a disposición datos/código que permitan reproducir los resultados, lo que eleva el riesgo global de sesgo metodológico.</t>
  </si>
  <si>
    <t>Analysis of 5D BIM for Cost Estimation, Cost Control, and Payments</t>
  </si>
  <si>
    <t>Pardis Pishdad; Ihuoma O. Onungwa</t>
  </si>
  <si>
    <t>Lecture Notes in Mechanical Engineering</t>
  </si>
  <si>
    <t>Artículo de revisión teórica de literatura. No cumple con la rúbrica diseñada para validación experimental en campo.</t>
  </si>
  <si>
    <t>RoB se calificó como Alto porque solo utiliza un único caso de estudio, y la propuesta de workflow (con AI, smart contracts, etc.) se presenta de forma principalmente conceptual, sin implementación ni datos cuantitativos que respalden su eficacia en múltiples proyectos reales</t>
  </si>
  <si>
    <t>Advancing construction site workforce safety monitoring through BIM and computer vision integration</t>
  </si>
  <si>
    <t>Almo Senja Kulinan; Minsoo Park; Pa Pa Win Aung; Gichun Cha</t>
  </si>
  <si>
    <t>Validación mixta con simulación y entorno real. Destaca por dataset robusto (&gt;3000 imgs), métricas claras y código abierto.</t>
  </si>
  <si>
    <t>RoB Medio porque combina buena reproducibilidad y discusión honesta de limitaciones, pero la validación se basa en simulación y pruebas de laboratorio interior, sin casos de obra real que respalden plenamente la validez externa.</t>
  </si>
  <si>
    <t>A semantic framework for on-site evacuation routing based on awareness of obstacle accessibility</t>
  </si>
  <si>
    <t>Hui Deng; Mao Tian; Zhibin Ou; Yichuan Deng</t>
  </si>
  <si>
    <t>Probado en obra real. Cumple criterios mínimos de bajo riesgo con datos disponibles bajo solicitud y validación cuantitativa.</t>
  </si>
  <si>
    <t>RoB Medio porque, aunque se valida en una obra real con un edificio de varios pisos y experimentos controlados, la muestra es limitada, no hay evidencia de código/datos abiertos, lo que reduce la robustez y reproducibilidad del estudio.</t>
  </si>
  <si>
    <t>Computer vision-aided inspection on falling prevention measures for scaffolding work</t>
  </si>
  <si>
    <t>Qi Fanga,b , Heng Lib,⁎ , Xiaochun Luob , Lieyun Dinga , Hanbin Luoa , Chengqian Li</t>
  </si>
  <si>
    <t xml:space="preserve">Dataset robusto y métricas claras, pero validado en entorno controlado/escenificado, no en obra continua. </t>
  </si>
  <si>
    <t>RoB Alto porque solo se valida en entorno controlado con cámaras interiores, sin casos de obra real, y no se liberan código ni datos, aunque reporta métricas altas y limita­ciones de oclusión.</t>
  </si>
  <si>
    <t>Understanding Quality of Analytics Trade-offs in an End-to-end Machine Learning-based Classification System for Building Information Modeling</t>
  </si>
  <si>
    <t>Minjung Ryu, Hong-Linh Truong, Matti Kannala</t>
  </si>
  <si>
    <t>Estudio comparativo en escenario controlado para evaluar trade-offs. Análisis estadístico bueno, sin datos abiertos.</t>
  </si>
  <si>
    <t>RoB Medio porque se basa en múltiples modelos BIM reales con gran número de elementos y análisis cuantitativos de F1, no libera código ni datos, lo que limita la validación independiente.</t>
  </si>
  <si>
    <t>Semantic interoperability on IoT: Aligning IFC and Smart Application Reference (SAREF) sensor data models</t>
  </si>
  <si>
    <t>Ebere Donatus Okonta, Farzad Rahimian, Vladimir Vukovic, Sergio Rodriguez</t>
  </si>
  <si>
    <t>Validación de ontologías (interoperabilidad), no un experimento cuantitativo de campo. Puntúa alto en criterios experimentales.</t>
  </si>
  <si>
    <t>RoB Medio porque la validación se basa en un número reducido de expertos y sin pruebas en proyectos reales, aunque el método está bien descrito y se discuten limitaciones y fallos de alineación.</t>
  </si>
  <si>
    <t>DISCREPANCIAS</t>
  </si>
  <si>
    <t>COINCIDENCIAS</t>
  </si>
  <si>
    <t>RIESGO DE SESGO</t>
  </si>
  <si>
    <t>TOTAL</t>
  </si>
  <si>
    <t>Incompleta</t>
  </si>
  <si>
    <t>Aporte revisorio o exploratorio para estado del arte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</si>
</sst>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color rgb="FF000000"/>
      <name val="Arial"/>
      <scheme val="minor"/>
    </font>
    <font>
      <sz val="10"/>
      <color rgb="FF000000"/>
      <name val="Arial"/>
      <scheme val="minor"/>
    </font>
    <font>
      <sz val="10"/>
      <color rgb="FF000000"/>
      <name val="Arial"/>
    </font>
    <font>
      <sz val="10"/>
      <name val="Arial"/>
    </font>
    <font>
      <sz val="10"/>
      <color theme="1"/>
      <name val="Arial"/>
    </font>
    <font>
      <b/>
      <sz val="10"/>
      <color rgb="FF000000"/>
      <name val="Arial"/>
    </font>
    <font>
      <sz val="11"/>
      <color rgb="FF000000"/>
      <name val="&quot;Aptos Narrow&quot;"/>
    </font>
    <font>
      <sz val="10"/>
      <color theme="1"/>
      <name val="Arial"/>
      <scheme val="minor"/>
    </font>
  </fonts>
  <fills count="12">
    <fill>
      <patternFill patternType="none"/>
    </fill>
    <fill>
      <patternFill patternType="gray125"/>
    </fill>
    <fill>
      <patternFill patternType="solid">
        <fgColor rgb="FFFFFF00"/>
        <bgColor rgb="FFFFFF00"/>
      </patternFill>
    </fill>
    <fill>
      <patternFill patternType="solid">
        <fgColor rgb="FFFF0000"/>
        <bgColor rgb="FFFF0000"/>
      </patternFill>
    </fill>
    <fill>
      <patternFill patternType="solid">
        <fgColor rgb="FF00B050"/>
        <bgColor rgb="FF00B050"/>
      </patternFill>
    </fill>
    <fill>
      <patternFill patternType="solid">
        <fgColor rgb="FFC00000"/>
        <bgColor rgb="FFC00000"/>
      </patternFill>
    </fill>
    <fill>
      <patternFill patternType="solid">
        <fgColor rgb="FF92D050"/>
        <bgColor rgb="FF92D050"/>
      </patternFill>
    </fill>
    <fill>
      <patternFill patternType="solid">
        <fgColor rgb="FF00B0F0"/>
        <bgColor rgb="FF00B0F0"/>
      </patternFill>
    </fill>
    <fill>
      <patternFill patternType="solid">
        <fgColor rgb="FFFF0000"/>
        <bgColor indexed="64"/>
      </patternFill>
    </fill>
    <fill>
      <patternFill patternType="solid">
        <fgColor rgb="FFDAF2D0"/>
        <bgColor rgb="FFDAF2D0"/>
      </patternFill>
    </fill>
    <fill>
      <patternFill patternType="solid">
        <fgColor rgb="FFFFFF00"/>
        <bgColor indexed="64"/>
      </patternFill>
    </fill>
    <fill>
      <patternFill patternType="solid">
        <fgColor rgb="FF92D050"/>
        <bgColor indexed="64"/>
      </patternFill>
    </fill>
  </fills>
  <borders count="31">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ck">
        <color rgb="FF000000"/>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ck">
        <color rgb="FF000000"/>
      </right>
      <top/>
      <bottom style="thin">
        <color rgb="FF000000"/>
      </bottom>
      <diagonal/>
    </border>
    <border>
      <left style="thin">
        <color rgb="FF000000"/>
      </left>
      <right/>
      <top/>
      <bottom style="thin">
        <color rgb="FF000000"/>
      </bottom>
      <diagonal/>
    </border>
    <border>
      <left style="thick">
        <color rgb="FF000000"/>
      </left>
      <right style="thick">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bottom style="thick">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n">
        <color rgb="FF000000"/>
      </left>
      <right style="thin">
        <color rgb="FF000000"/>
      </right>
      <top style="thin">
        <color rgb="FF000000"/>
      </top>
      <bottom/>
      <diagonal/>
    </border>
    <border>
      <left style="thick">
        <color rgb="FF000000"/>
      </left>
      <right style="thick">
        <color rgb="FF000000"/>
      </right>
      <top style="thick">
        <color rgb="FF000000"/>
      </top>
      <bottom/>
      <diagonal/>
    </border>
    <border>
      <left style="thin">
        <color indexed="64"/>
      </left>
      <right style="thin">
        <color indexed="64"/>
      </right>
      <top style="thin">
        <color indexed="64"/>
      </top>
      <bottom style="thin">
        <color indexed="64"/>
      </bottom>
      <diagonal/>
    </border>
    <border>
      <left style="thin">
        <color rgb="FF8ED973"/>
      </left>
      <right/>
      <top style="thin">
        <color rgb="FF8ED973"/>
      </top>
      <bottom style="thin">
        <color rgb="FF8ED973"/>
      </bottom>
      <diagonal/>
    </border>
    <border>
      <left/>
      <right/>
      <top style="thin">
        <color rgb="FF8ED973"/>
      </top>
      <bottom style="thin">
        <color rgb="FF8ED973"/>
      </bottom>
      <diagonal/>
    </border>
    <border>
      <left/>
      <right style="thin">
        <color rgb="FF8ED973"/>
      </right>
      <top style="thin">
        <color rgb="FF8ED973"/>
      </top>
      <bottom style="thin">
        <color rgb="FF8ED973"/>
      </bottom>
      <diagonal/>
    </border>
  </borders>
  <cellStyleXfs count="2">
    <xf numFmtId="0" fontId="0" fillId="0" borderId="0"/>
    <xf numFmtId="9" fontId="1" fillId="0" borderId="0" applyFont="0" applyFill="0" applyBorder="0" applyAlignment="0" applyProtection="0"/>
  </cellStyleXfs>
  <cellXfs count="82">
    <xf numFmtId="0" fontId="0" fillId="0" borderId="0" xfId="0"/>
    <xf numFmtId="0" fontId="2" fillId="0" borderId="0" xfId="0" applyFont="1" applyAlignment="1">
      <alignment horizontal="center"/>
    </xf>
    <xf numFmtId="0" fontId="0" fillId="0" borderId="0" xfId="0"/>
    <xf numFmtId="0" fontId="2" fillId="0" borderId="1" xfId="0" applyFont="1" applyBorder="1" applyAlignment="1">
      <alignment horizontal="center"/>
    </xf>
    <xf numFmtId="0" fontId="3" fillId="0" borderId="2" xfId="0" applyFont="1" applyBorder="1"/>
    <xf numFmtId="0" fontId="3" fillId="0" borderId="3" xfId="0" applyFont="1" applyBorder="1"/>
    <xf numFmtId="0" fontId="2" fillId="0" borderId="4" xfId="0"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3" fillId="0" borderId="5" xfId="0" applyFont="1" applyBorder="1"/>
    <xf numFmtId="0" fontId="2" fillId="0" borderId="5" xfId="0" applyFont="1" applyBorder="1"/>
    <xf numFmtId="0" fontId="2" fillId="0" borderId="0" xfId="0" applyFont="1"/>
    <xf numFmtId="0" fontId="4" fillId="0" borderId="4" xfId="0" applyFont="1" applyBorder="1"/>
    <xf numFmtId="0" fontId="4" fillId="0" borderId="6" xfId="0" applyFont="1" applyBorder="1"/>
    <xf numFmtId="0" fontId="4" fillId="0" borderId="5" xfId="0" applyFont="1" applyBorder="1"/>
    <xf numFmtId="0" fontId="4" fillId="0" borderId="7" xfId="0" applyFont="1" applyBorder="1"/>
    <xf numFmtId="0" fontId="4" fillId="0" borderId="4" xfId="0" applyFont="1" applyBorder="1" applyAlignment="1">
      <alignment horizontal="left"/>
    </xf>
    <xf numFmtId="0" fontId="4" fillId="0" borderId="5" xfId="0" applyFont="1" applyBorder="1" applyAlignment="1">
      <alignment horizontal="left"/>
    </xf>
    <xf numFmtId="0" fontId="4" fillId="0" borderId="4" xfId="0" applyFont="1" applyBorder="1" applyAlignment="1">
      <alignment horizontal="center"/>
    </xf>
    <xf numFmtId="0" fontId="3" fillId="0" borderId="6" xfId="0" applyFont="1" applyBorder="1"/>
    <xf numFmtId="0" fontId="4" fillId="0" borderId="8" xfId="0" applyFont="1" applyBorder="1"/>
    <xf numFmtId="0" fontId="4" fillId="0" borderId="0" xfId="0" applyFont="1"/>
    <xf numFmtId="0" fontId="4" fillId="0" borderId="9" xfId="0" applyFont="1" applyBorder="1"/>
    <xf numFmtId="0" fontId="4" fillId="2" borderId="0" xfId="0" applyFont="1" applyFill="1"/>
    <xf numFmtId="0" fontId="4" fillId="3" borderId="0" xfId="0" applyFont="1" applyFill="1"/>
    <xf numFmtId="0" fontId="4" fillId="2" borderId="9" xfId="0" applyFont="1" applyFill="1" applyBorder="1"/>
    <xf numFmtId="0" fontId="2" fillId="4" borderId="10" xfId="0" applyFont="1" applyFill="1" applyBorder="1" applyAlignment="1">
      <alignment horizontal="center" vertical="center"/>
    </xf>
    <xf numFmtId="0" fontId="2" fillId="2" borderId="11" xfId="0" applyFont="1" applyFill="1" applyBorder="1" applyAlignment="1">
      <alignment horizontal="center" vertical="center"/>
    </xf>
    <xf numFmtId="0" fontId="2" fillId="4" borderId="11"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13" xfId="0" applyFont="1" applyFill="1" applyBorder="1" applyAlignment="1">
      <alignment horizontal="left" vertical="center"/>
    </xf>
    <xf numFmtId="0" fontId="4" fillId="5" borderId="14" xfId="0" applyFont="1" applyFill="1" applyBorder="1"/>
    <xf numFmtId="0" fontId="2" fillId="0" borderId="3" xfId="0" applyFont="1" applyBorder="1"/>
    <xf numFmtId="0" fontId="2" fillId="0" borderId="0" xfId="0" applyFont="1" applyAlignment="1">
      <alignment horizontal="left" vertical="top"/>
    </xf>
    <xf numFmtId="0" fontId="4" fillId="6" borderId="0" xfId="0" applyFont="1" applyFill="1"/>
    <xf numFmtId="0" fontId="4" fillId="6" borderId="9" xfId="0" applyFont="1" applyFill="1" applyBorder="1"/>
    <xf numFmtId="0" fontId="2" fillId="4" borderId="15" xfId="0" applyFont="1" applyFill="1" applyBorder="1" applyAlignment="1">
      <alignment horizontal="center" vertical="center"/>
    </xf>
    <xf numFmtId="0" fontId="2" fillId="2" borderId="16" xfId="0" applyFont="1" applyFill="1" applyBorder="1" applyAlignment="1">
      <alignment horizontal="center" vertical="center"/>
    </xf>
    <xf numFmtId="0" fontId="2" fillId="4" borderId="16" xfId="0" applyFont="1" applyFill="1" applyBorder="1" applyAlignment="1">
      <alignment horizontal="center" vertical="center"/>
    </xf>
    <xf numFmtId="0" fontId="2" fillId="4" borderId="17" xfId="0" applyFont="1" applyFill="1" applyBorder="1" applyAlignment="1">
      <alignment horizontal="center" vertical="center"/>
    </xf>
    <xf numFmtId="0" fontId="2" fillId="4" borderId="18" xfId="0" applyFont="1" applyFill="1" applyBorder="1" applyAlignment="1">
      <alignment horizontal="left" vertical="center"/>
    </xf>
    <xf numFmtId="0" fontId="4" fillId="7" borderId="14" xfId="0" applyFont="1" applyFill="1" applyBorder="1"/>
    <xf numFmtId="0" fontId="2" fillId="0" borderId="9" xfId="0" applyFont="1" applyBorder="1"/>
    <xf numFmtId="0" fontId="2" fillId="2" borderId="15" xfId="0" applyFont="1" applyFill="1" applyBorder="1" applyAlignment="1">
      <alignment horizontal="center" vertical="center"/>
    </xf>
    <xf numFmtId="0" fontId="2" fillId="2" borderId="18" xfId="0" applyFont="1" applyFill="1" applyBorder="1" applyAlignment="1">
      <alignment horizontal="left" vertical="center"/>
    </xf>
    <xf numFmtId="0" fontId="2" fillId="3" borderId="16" xfId="0" applyFont="1" applyFill="1" applyBorder="1" applyAlignment="1">
      <alignment horizontal="center" vertical="center"/>
    </xf>
    <xf numFmtId="0" fontId="2" fillId="2" borderId="17" xfId="0" applyFont="1" applyFill="1" applyBorder="1" applyAlignment="1">
      <alignment horizontal="center" vertical="center"/>
    </xf>
    <xf numFmtId="0" fontId="2" fillId="3" borderId="18" xfId="0" applyFont="1" applyFill="1" applyBorder="1" applyAlignment="1">
      <alignment horizontal="left" vertical="center"/>
    </xf>
    <xf numFmtId="0" fontId="2" fillId="3" borderId="15" xfId="0" applyFont="1" applyFill="1" applyBorder="1" applyAlignment="1">
      <alignment horizontal="center" vertical="center"/>
    </xf>
    <xf numFmtId="0" fontId="2" fillId="3" borderId="17" xfId="0" applyFont="1" applyFill="1" applyBorder="1" applyAlignment="1">
      <alignment horizontal="center" vertical="center"/>
    </xf>
    <xf numFmtId="0" fontId="4" fillId="0" borderId="19" xfId="0" applyFont="1" applyBorder="1"/>
    <xf numFmtId="0" fontId="4" fillId="0" borderId="20" xfId="0" applyFont="1" applyBorder="1"/>
    <xf numFmtId="0" fontId="4" fillId="2" borderId="21" xfId="0" applyFont="1" applyFill="1" applyBorder="1"/>
    <xf numFmtId="0" fontId="4" fillId="3" borderId="19" xfId="0" applyFont="1" applyFill="1" applyBorder="1"/>
    <xf numFmtId="0" fontId="4" fillId="2" borderId="19" xfId="0" applyFont="1" applyFill="1" applyBorder="1"/>
    <xf numFmtId="0" fontId="4" fillId="6" borderId="20" xfId="0" applyFont="1" applyFill="1" applyBorder="1"/>
    <xf numFmtId="0" fontId="2" fillId="2" borderId="22" xfId="0" applyFont="1" applyFill="1" applyBorder="1" applyAlignment="1">
      <alignment horizontal="center" vertical="center"/>
    </xf>
    <xf numFmtId="0" fontId="2" fillId="2" borderId="23" xfId="0" applyFont="1" applyFill="1" applyBorder="1" applyAlignment="1">
      <alignment horizontal="center" vertical="center"/>
    </xf>
    <xf numFmtId="0" fontId="2" fillId="3" borderId="23" xfId="0" applyFont="1" applyFill="1" applyBorder="1" applyAlignment="1">
      <alignment horizontal="center" vertical="center"/>
    </xf>
    <xf numFmtId="0" fontId="2" fillId="4" borderId="24" xfId="0" applyFont="1" applyFill="1" applyBorder="1" applyAlignment="1">
      <alignment horizontal="center" vertical="center"/>
    </xf>
    <xf numFmtId="0" fontId="2" fillId="2" borderId="25" xfId="0" applyFont="1" applyFill="1" applyBorder="1" applyAlignment="1">
      <alignment horizontal="center" vertical="center"/>
    </xf>
    <xf numFmtId="0" fontId="5" fillId="5" borderId="1" xfId="0" applyFont="1" applyFill="1" applyBorder="1" applyAlignment="1">
      <alignment horizontal="center"/>
    </xf>
    <xf numFmtId="0" fontId="2" fillId="0" borderId="26" xfId="0" applyFont="1" applyBorder="1" applyAlignment="1">
      <alignment horizontal="center"/>
    </xf>
    <xf numFmtId="0" fontId="2" fillId="0" borderId="0" xfId="0" applyFont="1" applyAlignment="1">
      <alignment horizontal="center"/>
    </xf>
    <xf numFmtId="0" fontId="5" fillId="7" borderId="4" xfId="0" applyFont="1" applyFill="1" applyBorder="1" applyAlignment="1">
      <alignment horizontal="center"/>
    </xf>
    <xf numFmtId="0" fontId="2" fillId="0" borderId="7" xfId="0" applyFont="1" applyBorder="1" applyAlignment="1">
      <alignment horizontal="center"/>
    </xf>
    <xf numFmtId="0" fontId="0" fillId="0" borderId="27" xfId="0" applyBorder="1"/>
    <xf numFmtId="0" fontId="0" fillId="0" borderId="27" xfId="0" applyBorder="1" applyAlignment="1">
      <alignment horizontal="center"/>
    </xf>
    <xf numFmtId="0" fontId="6" fillId="0" borderId="28" xfId="0" applyFont="1" applyBorder="1" applyAlignment="1">
      <alignment horizontal="right"/>
    </xf>
    <xf numFmtId="0" fontId="6" fillId="0" borderId="29" xfId="0" applyFont="1" applyBorder="1"/>
    <xf numFmtId="0" fontId="6" fillId="0" borderId="30" xfId="0" applyFont="1" applyBorder="1"/>
    <xf numFmtId="0" fontId="0" fillId="8" borderId="27" xfId="0" applyFill="1" applyBorder="1"/>
    <xf numFmtId="9" fontId="0" fillId="0" borderId="0" xfId="1" applyFont="1"/>
    <xf numFmtId="0" fontId="6" fillId="9" borderId="28" xfId="0" applyFont="1" applyFill="1" applyBorder="1" applyAlignment="1">
      <alignment horizontal="right"/>
    </xf>
    <xf numFmtId="0" fontId="6" fillId="9" borderId="29" xfId="0" applyFont="1" applyFill="1" applyBorder="1"/>
    <xf numFmtId="0" fontId="6" fillId="9" borderId="30" xfId="0" applyFont="1" applyFill="1" applyBorder="1"/>
    <xf numFmtId="0" fontId="0" fillId="10" borderId="27" xfId="0" applyFill="1" applyBorder="1"/>
    <xf numFmtId="0" fontId="0" fillId="11" borderId="27" xfId="0" applyFill="1" applyBorder="1"/>
    <xf numFmtId="0" fontId="6" fillId="2" borderId="28" xfId="0" applyFont="1" applyFill="1" applyBorder="1" applyAlignment="1">
      <alignment horizontal="right"/>
    </xf>
    <xf numFmtId="0" fontId="6" fillId="2" borderId="29" xfId="0" applyFont="1" applyFill="1" applyBorder="1"/>
    <xf numFmtId="0" fontId="6" fillId="2" borderId="30" xfId="0" applyFont="1" applyFill="1" applyBorder="1"/>
    <xf numFmtId="0" fontId="7" fillId="2" borderId="0" xfId="0" applyFont="1" applyFill="1"/>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7096F-3E6F-45E2-983C-712E0552FD9A}">
  <sheetPr codeName="Hoja1">
    <outlinePr summaryBelow="0" summaryRight="0"/>
  </sheetPr>
  <dimension ref="A1:AQ1000"/>
  <sheetViews>
    <sheetView tabSelected="1" topLeftCell="G1" workbookViewId="0">
      <selection activeCell="AG50" sqref="AG50"/>
    </sheetView>
  </sheetViews>
  <sheetFormatPr baseColWidth="10" defaultColWidth="12.6640625" defaultRowHeight="15" customHeight="1"/>
  <cols>
    <col min="1" max="1" width="2.88671875" customWidth="1"/>
    <col min="2" max="2" width="12.33203125" customWidth="1"/>
    <col min="3" max="3" width="4.77734375" customWidth="1"/>
    <col min="4" max="4" width="9.77734375" customWidth="1"/>
    <col min="5" max="5" width="10.6640625" customWidth="1"/>
    <col min="6" max="6" width="13.44140625" customWidth="1"/>
    <col min="7" max="7" width="26.88671875" customWidth="1"/>
    <col min="9" max="9" width="14.44140625" customWidth="1"/>
    <col min="10" max="10" width="25.109375" customWidth="1"/>
    <col min="11" max="11" width="13.44140625" customWidth="1"/>
    <col min="12" max="12" width="26.88671875" customWidth="1"/>
    <col min="13" max="13" width="19" hidden="1" customWidth="1"/>
    <col min="14" max="14" width="14.44140625" customWidth="1"/>
    <col min="15" max="15" width="25.109375" customWidth="1"/>
    <col min="16" max="16" width="17" customWidth="1"/>
    <col min="17" max="17" width="14.77734375" customWidth="1"/>
    <col min="19" max="19" width="25.6640625" bestFit="1" customWidth="1"/>
  </cols>
  <sheetData>
    <row r="1" spans="1:43" ht="15.75" customHeight="1" thickTop="1" thickBot="1">
      <c r="A1" s="1" t="s">
        <v>0</v>
      </c>
      <c r="B1" s="2"/>
      <c r="C1" s="2"/>
      <c r="D1" s="2"/>
      <c r="E1" s="2"/>
      <c r="F1" s="3" t="s">
        <v>1</v>
      </c>
      <c r="G1" s="4"/>
      <c r="H1" s="4"/>
      <c r="I1" s="4"/>
      <c r="J1" s="5"/>
      <c r="K1" s="3" t="s">
        <v>2</v>
      </c>
      <c r="L1" s="4"/>
      <c r="M1" s="4"/>
      <c r="N1" s="4"/>
      <c r="O1" s="5"/>
      <c r="P1" s="6" t="s">
        <v>3</v>
      </c>
      <c r="Q1" s="7"/>
      <c r="R1" s="7"/>
      <c r="S1" s="8"/>
      <c r="T1" s="6" t="s">
        <v>4</v>
      </c>
      <c r="U1" s="9"/>
      <c r="V1" s="9"/>
      <c r="W1" s="9"/>
      <c r="X1" s="9"/>
      <c r="Y1" s="9"/>
      <c r="Z1" s="9"/>
      <c r="AA1" s="9"/>
      <c r="AB1" s="9"/>
      <c r="AC1" s="9"/>
      <c r="AD1" s="9"/>
      <c r="AE1" s="9"/>
      <c r="AF1" s="9"/>
      <c r="AG1" s="9"/>
      <c r="AH1" s="9"/>
      <c r="AI1" s="9"/>
      <c r="AJ1" s="9"/>
      <c r="AK1" s="9"/>
      <c r="AL1" s="9"/>
      <c r="AM1" s="10"/>
      <c r="AN1" s="10"/>
      <c r="AO1" s="11"/>
      <c r="AP1" s="11"/>
      <c r="AQ1" s="11"/>
    </row>
    <row r="2" spans="1:43" ht="15.75" customHeight="1" thickTop="1" thickBot="1">
      <c r="A2" s="12" t="s">
        <v>5</v>
      </c>
      <c r="B2" s="13" t="s">
        <v>6</v>
      </c>
      <c r="C2" s="14" t="s">
        <v>7</v>
      </c>
      <c r="D2" s="12" t="s">
        <v>8</v>
      </c>
      <c r="E2" s="15" t="s">
        <v>9</v>
      </c>
      <c r="F2" s="14" t="s">
        <v>10</v>
      </c>
      <c r="G2" s="15" t="s">
        <v>11</v>
      </c>
      <c r="H2" s="14" t="s">
        <v>12</v>
      </c>
      <c r="I2" s="14" t="s">
        <v>13</v>
      </c>
      <c r="J2" s="15" t="s">
        <v>14</v>
      </c>
      <c r="K2" s="14" t="s">
        <v>15</v>
      </c>
      <c r="L2" s="14" t="s">
        <v>11</v>
      </c>
      <c r="M2" s="14" t="s">
        <v>12</v>
      </c>
      <c r="N2" s="14" t="s">
        <v>13</v>
      </c>
      <c r="O2" s="13" t="s">
        <v>14</v>
      </c>
      <c r="P2" s="16" t="s">
        <v>16</v>
      </c>
      <c r="Q2" s="17" t="s">
        <v>17</v>
      </c>
      <c r="R2" s="13" t="s">
        <v>18</v>
      </c>
      <c r="S2" s="14" t="s">
        <v>19</v>
      </c>
      <c r="T2" s="18" t="s">
        <v>20</v>
      </c>
      <c r="U2" s="9"/>
      <c r="V2" s="9"/>
      <c r="W2" s="9"/>
      <c r="X2" s="9"/>
      <c r="Y2" s="9"/>
      <c r="Z2" s="9"/>
      <c r="AA2" s="9"/>
      <c r="AB2" s="19"/>
      <c r="AC2" s="18" t="s">
        <v>21</v>
      </c>
      <c r="AD2" s="9"/>
      <c r="AE2" s="9"/>
      <c r="AF2" s="9"/>
      <c r="AG2" s="9"/>
      <c r="AH2" s="9"/>
      <c r="AI2" s="9"/>
      <c r="AJ2" s="9"/>
      <c r="AK2" s="9"/>
      <c r="AL2" s="9"/>
      <c r="AM2" s="9"/>
      <c r="AN2" s="9"/>
      <c r="AO2" s="20"/>
      <c r="AP2" s="21"/>
      <c r="AQ2" s="21"/>
    </row>
    <row r="3" spans="1:43" ht="15.75" customHeight="1" thickTop="1">
      <c r="A3" s="21">
        <v>1</v>
      </c>
      <c r="B3" s="21" t="s">
        <v>22</v>
      </c>
      <c r="C3" s="21">
        <v>2017</v>
      </c>
      <c r="D3" s="21" t="s">
        <v>23</v>
      </c>
      <c r="E3" s="22" t="s">
        <v>24</v>
      </c>
      <c r="F3" s="23" t="s">
        <v>25</v>
      </c>
      <c r="G3" s="23" t="s">
        <v>25</v>
      </c>
      <c r="H3" s="21" t="s">
        <v>26</v>
      </c>
      <c r="I3" s="24" t="s">
        <v>26</v>
      </c>
      <c r="J3" s="25" t="s">
        <v>25</v>
      </c>
      <c r="K3" s="26" t="s">
        <v>27</v>
      </c>
      <c r="L3" s="27" t="s">
        <v>28</v>
      </c>
      <c r="M3" s="27" t="s">
        <v>28</v>
      </c>
      <c r="N3" s="28" t="s">
        <v>27</v>
      </c>
      <c r="O3" s="29" t="s">
        <v>28</v>
      </c>
      <c r="P3" s="28" t="s">
        <v>27</v>
      </c>
      <c r="Q3" s="30" t="s">
        <v>29</v>
      </c>
      <c r="R3" s="31" t="s">
        <v>30</v>
      </c>
      <c r="S3" s="28" t="s">
        <v>27</v>
      </c>
      <c r="T3" s="21" t="s">
        <v>31</v>
      </c>
      <c r="AB3" s="32"/>
      <c r="AC3" s="21" t="s">
        <v>32</v>
      </c>
      <c r="AD3" s="21"/>
      <c r="AE3" s="21"/>
      <c r="AF3" s="33"/>
      <c r="AG3" s="33"/>
      <c r="AH3" s="33"/>
      <c r="AI3" s="33"/>
      <c r="AJ3" s="33"/>
      <c r="AK3" s="33"/>
    </row>
    <row r="4" spans="1:43" ht="15.75" customHeight="1">
      <c r="A4" s="21">
        <v>2</v>
      </c>
      <c r="B4" s="21" t="s">
        <v>33</v>
      </c>
      <c r="C4" s="21">
        <v>2024</v>
      </c>
      <c r="D4" s="21" t="s">
        <v>34</v>
      </c>
      <c r="E4" s="22" t="s">
        <v>35</v>
      </c>
      <c r="F4" s="34" t="s">
        <v>36</v>
      </c>
      <c r="G4" s="23" t="s">
        <v>25</v>
      </c>
      <c r="H4" s="23" t="s">
        <v>25</v>
      </c>
      <c r="I4" s="23" t="s">
        <v>25</v>
      </c>
      <c r="J4" s="35" t="s">
        <v>36</v>
      </c>
      <c r="K4" s="36" t="s">
        <v>27</v>
      </c>
      <c r="L4" s="37" t="s">
        <v>28</v>
      </c>
      <c r="M4" s="38" t="s">
        <v>27</v>
      </c>
      <c r="N4" s="37" t="s">
        <v>28</v>
      </c>
      <c r="O4" s="39" t="s">
        <v>27</v>
      </c>
      <c r="P4" s="38" t="s">
        <v>27</v>
      </c>
      <c r="Q4" s="40" t="s">
        <v>37</v>
      </c>
      <c r="R4" s="41" t="s">
        <v>38</v>
      </c>
      <c r="S4" s="28" t="s">
        <v>27</v>
      </c>
      <c r="T4" s="21" t="s">
        <v>39</v>
      </c>
      <c r="AB4" s="42"/>
      <c r="AC4" s="21" t="s">
        <v>40</v>
      </c>
      <c r="AD4" s="21"/>
      <c r="AE4" s="21"/>
      <c r="AF4" s="33"/>
      <c r="AG4" s="33"/>
      <c r="AH4" s="33"/>
      <c r="AI4" s="33"/>
      <c r="AJ4" s="33"/>
      <c r="AK4" s="33"/>
    </row>
    <row r="5" spans="1:43" ht="15.75" customHeight="1">
      <c r="A5" s="21">
        <v>3</v>
      </c>
      <c r="B5" s="21" t="s">
        <v>41</v>
      </c>
      <c r="C5" s="21">
        <v>2023</v>
      </c>
      <c r="D5" s="21" t="s">
        <v>42</v>
      </c>
      <c r="E5" s="22" t="s">
        <v>24</v>
      </c>
      <c r="F5" s="23" t="s">
        <v>25</v>
      </c>
      <c r="G5" s="34" t="s">
        <v>36</v>
      </c>
      <c r="H5" s="21" t="s">
        <v>36</v>
      </c>
      <c r="I5" s="24" t="s">
        <v>26</v>
      </c>
      <c r="J5" s="35" t="s">
        <v>36</v>
      </c>
      <c r="K5" s="43" t="s">
        <v>28</v>
      </c>
      <c r="L5" s="37" t="s">
        <v>28</v>
      </c>
      <c r="M5" s="38" t="s">
        <v>27</v>
      </c>
      <c r="N5" s="37" t="s">
        <v>28</v>
      </c>
      <c r="O5" s="37" t="s">
        <v>28</v>
      </c>
      <c r="P5" s="37" t="s">
        <v>28</v>
      </c>
      <c r="Q5" s="44" t="s">
        <v>29</v>
      </c>
      <c r="R5" s="41" t="s">
        <v>38</v>
      </c>
      <c r="S5" s="37" t="s">
        <v>28</v>
      </c>
      <c r="T5" s="21" t="s">
        <v>43</v>
      </c>
      <c r="AB5" s="42"/>
      <c r="AC5" s="21" t="s">
        <v>44</v>
      </c>
      <c r="AD5" s="21"/>
      <c r="AE5" s="21"/>
      <c r="AF5" s="33"/>
      <c r="AG5" s="33"/>
      <c r="AH5" s="33"/>
      <c r="AI5" s="33"/>
      <c r="AJ5" s="33"/>
      <c r="AK5" s="33"/>
    </row>
    <row r="6" spans="1:43" ht="15.75" customHeight="1">
      <c r="A6" s="21">
        <v>4</v>
      </c>
      <c r="B6" s="21" t="s">
        <v>45</v>
      </c>
      <c r="C6" s="21">
        <v>2015</v>
      </c>
      <c r="D6" s="21" t="s">
        <v>46</v>
      </c>
      <c r="E6" s="22" t="s">
        <v>47</v>
      </c>
      <c r="F6" s="34" t="s">
        <v>36</v>
      </c>
      <c r="G6" s="34" t="s">
        <v>36</v>
      </c>
      <c r="H6" s="21" t="s">
        <v>36</v>
      </c>
      <c r="I6" s="24" t="s">
        <v>26</v>
      </c>
      <c r="J6" s="35" t="s">
        <v>36</v>
      </c>
      <c r="K6" s="36" t="s">
        <v>27</v>
      </c>
      <c r="L6" s="37" t="s">
        <v>28</v>
      </c>
      <c r="M6" s="38" t="s">
        <v>27</v>
      </c>
      <c r="N6" s="45" t="s">
        <v>48</v>
      </c>
      <c r="O6" s="39" t="s">
        <v>27</v>
      </c>
      <c r="P6" s="37" t="s">
        <v>28</v>
      </c>
      <c r="Q6" s="44" t="s">
        <v>29</v>
      </c>
      <c r="R6" s="41" t="s">
        <v>38</v>
      </c>
      <c r="S6" s="37" t="s">
        <v>28</v>
      </c>
      <c r="T6" s="21" t="s">
        <v>49</v>
      </c>
      <c r="AB6" s="42"/>
      <c r="AC6" s="21" t="s">
        <v>50</v>
      </c>
      <c r="AD6" s="21"/>
      <c r="AE6" s="21"/>
      <c r="AF6" s="33"/>
      <c r="AG6" s="33"/>
      <c r="AH6" s="33"/>
      <c r="AI6" s="33"/>
      <c r="AJ6" s="33"/>
      <c r="AK6" s="33"/>
    </row>
    <row r="7" spans="1:43" ht="15.75" customHeight="1">
      <c r="A7" s="21">
        <v>5</v>
      </c>
      <c r="B7" s="21" t="s">
        <v>51</v>
      </c>
      <c r="C7" s="21">
        <v>2017</v>
      </c>
      <c r="D7" s="21" t="s">
        <v>52</v>
      </c>
      <c r="E7" s="22" t="s">
        <v>24</v>
      </c>
      <c r="F7" s="23" t="s">
        <v>25</v>
      </c>
      <c r="G7" s="23" t="s">
        <v>25</v>
      </c>
      <c r="H7" s="21" t="s">
        <v>25</v>
      </c>
      <c r="I7" s="24" t="s">
        <v>26</v>
      </c>
      <c r="J7" s="35" t="s">
        <v>36</v>
      </c>
      <c r="K7" s="43" t="s">
        <v>28</v>
      </c>
      <c r="L7" s="45" t="s">
        <v>48</v>
      </c>
      <c r="M7" s="45" t="s">
        <v>48</v>
      </c>
      <c r="N7" s="37" t="s">
        <v>28</v>
      </c>
      <c r="O7" s="46" t="s">
        <v>28</v>
      </c>
      <c r="P7" s="37" t="s">
        <v>28</v>
      </c>
      <c r="Q7" s="44" t="s">
        <v>29</v>
      </c>
      <c r="R7" s="41" t="s">
        <v>38</v>
      </c>
      <c r="S7" s="37" t="s">
        <v>28</v>
      </c>
      <c r="T7" s="21" t="s">
        <v>53</v>
      </c>
      <c r="AB7" s="42"/>
      <c r="AC7" s="21" t="s">
        <v>54</v>
      </c>
      <c r="AD7" s="21"/>
      <c r="AE7" s="21"/>
      <c r="AF7" s="33"/>
      <c r="AG7" s="33"/>
      <c r="AH7" s="33"/>
      <c r="AI7" s="33"/>
      <c r="AJ7" s="33"/>
      <c r="AK7" s="33"/>
    </row>
    <row r="8" spans="1:43" ht="15.75" customHeight="1">
      <c r="A8" s="21">
        <v>6</v>
      </c>
      <c r="B8" s="21" t="s">
        <v>55</v>
      </c>
      <c r="C8" s="21">
        <v>2018</v>
      </c>
      <c r="D8" s="21" t="s">
        <v>56</v>
      </c>
      <c r="E8" s="22" t="s">
        <v>24</v>
      </c>
      <c r="F8" s="34" t="s">
        <v>36</v>
      </c>
      <c r="G8" s="23" t="s">
        <v>25</v>
      </c>
      <c r="H8" s="21" t="s">
        <v>36</v>
      </c>
      <c r="I8" s="24" t="s">
        <v>26</v>
      </c>
      <c r="J8" s="35" t="s">
        <v>36</v>
      </c>
      <c r="K8" s="43" t="s">
        <v>28</v>
      </c>
      <c r="L8" s="37" t="s">
        <v>28</v>
      </c>
      <c r="M8" s="45" t="s">
        <v>48</v>
      </c>
      <c r="N8" s="45" t="s">
        <v>48</v>
      </c>
      <c r="O8" s="46" t="s">
        <v>28</v>
      </c>
      <c r="P8" s="37" t="s">
        <v>28</v>
      </c>
      <c r="Q8" s="44" t="s">
        <v>29</v>
      </c>
      <c r="R8" s="41" t="s">
        <v>38</v>
      </c>
      <c r="S8" s="37" t="s">
        <v>28</v>
      </c>
      <c r="T8" s="21" t="s">
        <v>57</v>
      </c>
      <c r="AB8" s="42"/>
      <c r="AC8" s="21" t="s">
        <v>58</v>
      </c>
      <c r="AD8" s="21"/>
      <c r="AE8" s="21"/>
      <c r="AF8" s="33"/>
      <c r="AG8" s="33"/>
      <c r="AH8" s="33"/>
      <c r="AI8" s="33"/>
      <c r="AJ8" s="33"/>
      <c r="AK8" s="33"/>
    </row>
    <row r="9" spans="1:43" ht="15.75" customHeight="1">
      <c r="A9" s="21">
        <v>7</v>
      </c>
      <c r="B9" s="21" t="s">
        <v>59</v>
      </c>
      <c r="C9" s="21">
        <v>2020</v>
      </c>
      <c r="D9" s="21" t="s">
        <v>60</v>
      </c>
      <c r="E9" s="22" t="s">
        <v>24</v>
      </c>
      <c r="F9" s="34" t="s">
        <v>36</v>
      </c>
      <c r="G9" s="34" t="s">
        <v>36</v>
      </c>
      <c r="H9" s="21" t="s">
        <v>36</v>
      </c>
      <c r="I9" s="24" t="s">
        <v>26</v>
      </c>
      <c r="J9" s="35" t="s">
        <v>36</v>
      </c>
      <c r="K9" s="36" t="s">
        <v>27</v>
      </c>
      <c r="L9" s="37" t="s">
        <v>28</v>
      </c>
      <c r="M9" s="37" t="s">
        <v>28</v>
      </c>
      <c r="N9" s="45" t="s">
        <v>48</v>
      </c>
      <c r="O9" s="46" t="s">
        <v>28</v>
      </c>
      <c r="P9" s="37" t="s">
        <v>28</v>
      </c>
      <c r="Q9" s="44" t="s">
        <v>29</v>
      </c>
      <c r="R9" s="41" t="s">
        <v>38</v>
      </c>
      <c r="S9" s="37" t="s">
        <v>28</v>
      </c>
      <c r="T9" s="21" t="s">
        <v>61</v>
      </c>
      <c r="AB9" s="42"/>
      <c r="AC9" s="21" t="s">
        <v>62</v>
      </c>
      <c r="AD9" s="21"/>
      <c r="AE9" s="21"/>
      <c r="AF9" s="33"/>
      <c r="AG9" s="33"/>
      <c r="AH9" s="33"/>
      <c r="AI9" s="33"/>
      <c r="AJ9" s="33"/>
      <c r="AK9" s="33"/>
    </row>
    <row r="10" spans="1:43" ht="13.2">
      <c r="A10" s="21">
        <v>8</v>
      </c>
      <c r="B10" s="21" t="s">
        <v>63</v>
      </c>
      <c r="C10" s="21">
        <v>2021</v>
      </c>
      <c r="D10" s="21" t="s">
        <v>64</v>
      </c>
      <c r="E10" s="22" t="s">
        <v>47</v>
      </c>
      <c r="F10" s="34" t="s">
        <v>36</v>
      </c>
      <c r="G10" s="34" t="s">
        <v>36</v>
      </c>
      <c r="H10" s="21" t="s">
        <v>36</v>
      </c>
      <c r="I10" s="24" t="s">
        <v>26</v>
      </c>
      <c r="J10" s="35" t="s">
        <v>36</v>
      </c>
      <c r="K10" s="43" t="s">
        <v>28</v>
      </c>
      <c r="L10" s="37" t="s">
        <v>28</v>
      </c>
      <c r="M10" s="37" t="s">
        <v>28</v>
      </c>
      <c r="N10" s="37" t="s">
        <v>28</v>
      </c>
      <c r="O10" s="46" t="s">
        <v>28</v>
      </c>
      <c r="P10" s="37" t="s">
        <v>28</v>
      </c>
      <c r="Q10" s="44" t="s">
        <v>29</v>
      </c>
      <c r="R10" s="41" t="s">
        <v>38</v>
      </c>
      <c r="S10" s="37" t="s">
        <v>28</v>
      </c>
      <c r="T10" s="21" t="s">
        <v>65</v>
      </c>
      <c r="AB10" s="42"/>
      <c r="AC10" s="21" t="s">
        <v>66</v>
      </c>
      <c r="AD10" s="21"/>
      <c r="AE10" s="21"/>
      <c r="AF10" s="33"/>
      <c r="AG10" s="33"/>
      <c r="AH10" s="33"/>
      <c r="AI10" s="33"/>
      <c r="AJ10" s="33"/>
      <c r="AK10" s="33"/>
    </row>
    <row r="11" spans="1:43" ht="15.75" customHeight="1">
      <c r="A11" s="21">
        <v>9</v>
      </c>
      <c r="B11" s="21" t="s">
        <v>67</v>
      </c>
      <c r="C11" s="21">
        <v>2011</v>
      </c>
      <c r="D11" s="21" t="s">
        <v>68</v>
      </c>
      <c r="E11" s="22" t="s">
        <v>24</v>
      </c>
      <c r="F11" s="34" t="s">
        <v>36</v>
      </c>
      <c r="G11" s="23" t="s">
        <v>25</v>
      </c>
      <c r="H11" s="21" t="s">
        <v>25</v>
      </c>
      <c r="I11" s="24" t="s">
        <v>26</v>
      </c>
      <c r="J11" s="35" t="s">
        <v>36</v>
      </c>
      <c r="K11" s="43" t="s">
        <v>28</v>
      </c>
      <c r="L11" s="37" t="s">
        <v>28</v>
      </c>
      <c r="M11" s="45" t="s">
        <v>48</v>
      </c>
      <c r="N11" s="45" t="s">
        <v>48</v>
      </c>
      <c r="O11" s="46" t="s">
        <v>28</v>
      </c>
      <c r="P11" s="37" t="s">
        <v>28</v>
      </c>
      <c r="Q11" s="44" t="s">
        <v>29</v>
      </c>
      <c r="R11" s="41" t="s">
        <v>38</v>
      </c>
      <c r="S11" s="37" t="s">
        <v>28</v>
      </c>
      <c r="T11" s="21" t="s">
        <v>69</v>
      </c>
      <c r="AB11" s="42"/>
      <c r="AC11" s="21" t="s">
        <v>70</v>
      </c>
      <c r="AD11" s="21"/>
      <c r="AE11" s="21"/>
      <c r="AF11" s="33"/>
      <c r="AG11" s="33"/>
      <c r="AH11" s="33"/>
      <c r="AI11" s="33"/>
      <c r="AJ11" s="33"/>
      <c r="AK11" s="33"/>
    </row>
    <row r="12" spans="1:43" ht="15.75" customHeight="1">
      <c r="A12" s="21">
        <v>10</v>
      </c>
      <c r="B12" s="21" t="s">
        <v>71</v>
      </c>
      <c r="C12" s="21">
        <v>2010</v>
      </c>
      <c r="D12" s="21" t="s">
        <v>72</v>
      </c>
      <c r="E12" s="22" t="s">
        <v>73</v>
      </c>
      <c r="F12" s="34" t="s">
        <v>36</v>
      </c>
      <c r="G12" s="23" t="s">
        <v>25</v>
      </c>
      <c r="H12" s="21" t="s">
        <v>36</v>
      </c>
      <c r="I12" s="24" t="s">
        <v>26</v>
      </c>
      <c r="J12" s="35" t="s">
        <v>36</v>
      </c>
      <c r="K12" s="43" t="s">
        <v>28</v>
      </c>
      <c r="L12" s="37" t="s">
        <v>28</v>
      </c>
      <c r="M12" s="45" t="s">
        <v>48</v>
      </c>
      <c r="N12" s="45" t="s">
        <v>48</v>
      </c>
      <c r="O12" s="46" t="s">
        <v>28</v>
      </c>
      <c r="P12" s="37" t="s">
        <v>28</v>
      </c>
      <c r="Q12" s="44" t="s">
        <v>29</v>
      </c>
      <c r="R12" s="41" t="s">
        <v>38</v>
      </c>
      <c r="S12" s="37" t="s">
        <v>28</v>
      </c>
      <c r="T12" s="21" t="s">
        <v>74</v>
      </c>
      <c r="AB12" s="42"/>
      <c r="AC12" s="21" t="s">
        <v>75</v>
      </c>
      <c r="AD12" s="21"/>
      <c r="AE12" s="21"/>
      <c r="AF12" s="33"/>
      <c r="AG12" s="33"/>
      <c r="AH12" s="33"/>
      <c r="AI12" s="33"/>
      <c r="AJ12" s="33"/>
      <c r="AK12" s="33"/>
    </row>
    <row r="13" spans="1:43" ht="15.75" customHeight="1">
      <c r="A13" s="21">
        <v>11</v>
      </c>
      <c r="B13" s="21" t="s">
        <v>76</v>
      </c>
      <c r="C13" s="21">
        <v>2016</v>
      </c>
      <c r="D13" s="21" t="s">
        <v>77</v>
      </c>
      <c r="E13" s="22" t="s">
        <v>78</v>
      </c>
      <c r="F13" s="34" t="s">
        <v>36</v>
      </c>
      <c r="G13" s="23" t="s">
        <v>25</v>
      </c>
      <c r="H13" s="21" t="s">
        <v>26</v>
      </c>
      <c r="I13" s="24" t="s">
        <v>26</v>
      </c>
      <c r="J13" s="25" t="s">
        <v>25</v>
      </c>
      <c r="K13" s="36" t="s">
        <v>27</v>
      </c>
      <c r="L13" s="37" t="s">
        <v>28</v>
      </c>
      <c r="M13" s="45" t="s">
        <v>48</v>
      </c>
      <c r="N13" s="45" t="s">
        <v>48</v>
      </c>
      <c r="O13" s="39" t="s">
        <v>27</v>
      </c>
      <c r="P13" s="37" t="s">
        <v>28</v>
      </c>
      <c r="Q13" s="44" t="s">
        <v>29</v>
      </c>
      <c r="R13" s="41" t="s">
        <v>38</v>
      </c>
      <c r="S13" s="37" t="s">
        <v>28</v>
      </c>
      <c r="T13" s="21" t="s">
        <v>79</v>
      </c>
      <c r="AB13" s="42"/>
      <c r="AC13" s="21" t="s">
        <v>80</v>
      </c>
      <c r="AD13" s="21"/>
      <c r="AE13" s="21"/>
      <c r="AF13" s="33"/>
      <c r="AG13" s="33"/>
      <c r="AH13" s="33"/>
      <c r="AI13" s="33"/>
      <c r="AJ13" s="33"/>
      <c r="AK13" s="33"/>
    </row>
    <row r="14" spans="1:43" ht="15.75" customHeight="1">
      <c r="A14" s="21">
        <v>12</v>
      </c>
      <c r="B14" s="21" t="s">
        <v>81</v>
      </c>
      <c r="C14" s="21">
        <v>2024</v>
      </c>
      <c r="D14" s="21" t="s">
        <v>82</v>
      </c>
      <c r="E14" s="22" t="s">
        <v>24</v>
      </c>
      <c r="F14" s="34" t="s">
        <v>36</v>
      </c>
      <c r="G14" s="34" t="s">
        <v>36</v>
      </c>
      <c r="H14" s="21" t="s">
        <v>36</v>
      </c>
      <c r="I14" s="23" t="s">
        <v>25</v>
      </c>
      <c r="J14" s="35" t="s">
        <v>36</v>
      </c>
      <c r="K14" s="43" t="s">
        <v>28</v>
      </c>
      <c r="L14" s="37" t="s">
        <v>28</v>
      </c>
      <c r="M14" s="37" t="s">
        <v>28</v>
      </c>
      <c r="N14" s="45" t="s">
        <v>48</v>
      </c>
      <c r="O14" s="46" t="s">
        <v>28</v>
      </c>
      <c r="P14" s="37" t="s">
        <v>28</v>
      </c>
      <c r="Q14" s="40" t="s">
        <v>37</v>
      </c>
      <c r="R14" s="31" t="s">
        <v>30</v>
      </c>
      <c r="S14" s="37" t="s">
        <v>28</v>
      </c>
      <c r="T14" s="21" t="s">
        <v>83</v>
      </c>
      <c r="AB14" s="42"/>
      <c r="AC14" s="21" t="s">
        <v>84</v>
      </c>
      <c r="AD14" s="21"/>
      <c r="AE14" s="21"/>
      <c r="AF14" s="33"/>
      <c r="AG14" s="33"/>
      <c r="AH14" s="33"/>
      <c r="AI14" s="33"/>
      <c r="AJ14" s="33"/>
      <c r="AK14" s="33"/>
    </row>
    <row r="15" spans="1:43" ht="15.75" customHeight="1">
      <c r="A15" s="21">
        <v>13</v>
      </c>
      <c r="B15" s="21" t="s">
        <v>85</v>
      </c>
      <c r="C15" s="21">
        <v>2023</v>
      </c>
      <c r="D15" s="21" t="s">
        <v>86</v>
      </c>
      <c r="E15" s="22" t="s">
        <v>87</v>
      </c>
      <c r="F15" s="34" t="s">
        <v>36</v>
      </c>
      <c r="G15" s="23" t="s">
        <v>25</v>
      </c>
      <c r="H15" s="21" t="s">
        <v>25</v>
      </c>
      <c r="I15" s="24" t="s">
        <v>26</v>
      </c>
      <c r="J15" s="35" t="s">
        <v>36</v>
      </c>
      <c r="K15" s="36" t="s">
        <v>27</v>
      </c>
      <c r="L15" s="37" t="s">
        <v>28</v>
      </c>
      <c r="M15" s="37" t="s">
        <v>28</v>
      </c>
      <c r="N15" s="37" t="s">
        <v>28</v>
      </c>
      <c r="O15" s="39" t="s">
        <v>27</v>
      </c>
      <c r="P15" s="38" t="s">
        <v>27</v>
      </c>
      <c r="Q15" s="44" t="s">
        <v>29</v>
      </c>
      <c r="R15" s="31" t="s">
        <v>30</v>
      </c>
      <c r="S15" s="37" t="s">
        <v>28</v>
      </c>
      <c r="T15" s="21" t="s">
        <v>88</v>
      </c>
      <c r="AB15" s="42"/>
      <c r="AC15" s="21" t="s">
        <v>89</v>
      </c>
      <c r="AD15" s="21"/>
      <c r="AE15" s="21"/>
      <c r="AF15" s="33"/>
      <c r="AG15" s="33"/>
      <c r="AH15" s="33"/>
      <c r="AI15" s="33"/>
      <c r="AJ15" s="33"/>
      <c r="AK15" s="33"/>
    </row>
    <row r="16" spans="1:43" ht="15.75" customHeight="1">
      <c r="A16" s="21">
        <v>14</v>
      </c>
      <c r="B16" s="21" t="s">
        <v>90</v>
      </c>
      <c r="C16" s="21">
        <v>2018</v>
      </c>
      <c r="D16" s="21" t="s">
        <v>91</v>
      </c>
      <c r="E16" s="22" t="s">
        <v>24</v>
      </c>
      <c r="F16" s="34" t="s">
        <v>36</v>
      </c>
      <c r="G16" s="23" t="s">
        <v>25</v>
      </c>
      <c r="H16" s="21" t="s">
        <v>36</v>
      </c>
      <c r="I16" s="24" t="s">
        <v>26</v>
      </c>
      <c r="J16" s="35" t="s">
        <v>36</v>
      </c>
      <c r="K16" s="43" t="s">
        <v>28</v>
      </c>
      <c r="L16" s="37" t="s">
        <v>28</v>
      </c>
      <c r="M16" s="45" t="s">
        <v>48</v>
      </c>
      <c r="N16" s="45" t="s">
        <v>48</v>
      </c>
      <c r="O16" s="46" t="s">
        <v>28</v>
      </c>
      <c r="P16" s="37" t="s">
        <v>28</v>
      </c>
      <c r="Q16" s="44" t="s">
        <v>29</v>
      </c>
      <c r="R16" s="41" t="s">
        <v>38</v>
      </c>
      <c r="S16" s="37" t="s">
        <v>28</v>
      </c>
      <c r="T16" s="21" t="s">
        <v>92</v>
      </c>
      <c r="AB16" s="42"/>
      <c r="AC16" s="21" t="s">
        <v>93</v>
      </c>
      <c r="AD16" s="21"/>
      <c r="AE16" s="21"/>
      <c r="AF16" s="33"/>
      <c r="AG16" s="33"/>
      <c r="AH16" s="33"/>
      <c r="AI16" s="33"/>
      <c r="AJ16" s="33"/>
      <c r="AK16" s="33"/>
    </row>
    <row r="17" spans="1:37" ht="15.75" customHeight="1">
      <c r="A17" s="21">
        <v>15</v>
      </c>
      <c r="B17" s="21" t="s">
        <v>94</v>
      </c>
      <c r="C17" s="21">
        <v>2021</v>
      </c>
      <c r="D17" s="21" t="s">
        <v>95</v>
      </c>
      <c r="E17" s="22" t="s">
        <v>96</v>
      </c>
      <c r="F17" s="24" t="s">
        <v>26</v>
      </c>
      <c r="G17" s="24" t="s">
        <v>26</v>
      </c>
      <c r="H17" s="21" t="s">
        <v>26</v>
      </c>
      <c r="I17" s="24" t="s">
        <v>26</v>
      </c>
      <c r="J17" s="25" t="s">
        <v>25</v>
      </c>
      <c r="K17" s="36" t="s">
        <v>27</v>
      </c>
      <c r="L17" s="37" t="s">
        <v>28</v>
      </c>
      <c r="M17" s="37" t="s">
        <v>28</v>
      </c>
      <c r="N17" s="45" t="s">
        <v>48</v>
      </c>
      <c r="O17" s="39" t="s">
        <v>27</v>
      </c>
      <c r="P17" s="37" t="s">
        <v>28</v>
      </c>
      <c r="Q17" s="47" t="s">
        <v>97</v>
      </c>
      <c r="R17" s="31" t="s">
        <v>30</v>
      </c>
      <c r="S17" s="37" t="s">
        <v>28</v>
      </c>
      <c r="T17" s="21" t="s">
        <v>98</v>
      </c>
      <c r="AB17" s="42"/>
      <c r="AC17" s="21" t="s">
        <v>99</v>
      </c>
      <c r="AD17" s="21"/>
      <c r="AE17" s="21"/>
      <c r="AF17" s="33"/>
      <c r="AG17" s="33"/>
      <c r="AH17" s="33"/>
      <c r="AI17" s="33"/>
      <c r="AJ17" s="33"/>
      <c r="AK17" s="33"/>
    </row>
    <row r="18" spans="1:37" ht="15.75" customHeight="1">
      <c r="A18" s="21">
        <v>16</v>
      </c>
      <c r="B18" s="21" t="s">
        <v>100</v>
      </c>
      <c r="C18" s="21">
        <v>2024</v>
      </c>
      <c r="D18" s="21" t="s">
        <v>101</v>
      </c>
      <c r="E18" s="22" t="s">
        <v>24</v>
      </c>
      <c r="F18" s="23" t="s">
        <v>25</v>
      </c>
      <c r="G18" s="34" t="s">
        <v>36</v>
      </c>
      <c r="H18" s="21" t="s">
        <v>36</v>
      </c>
      <c r="I18" s="23" t="s">
        <v>25</v>
      </c>
      <c r="J18" s="35" t="s">
        <v>36</v>
      </c>
      <c r="K18" s="43" t="s">
        <v>28</v>
      </c>
      <c r="L18" s="37" t="s">
        <v>28</v>
      </c>
      <c r="M18" s="37" t="s">
        <v>28</v>
      </c>
      <c r="N18" s="37" t="s">
        <v>28</v>
      </c>
      <c r="O18" s="39" t="s">
        <v>27</v>
      </c>
      <c r="P18" s="37" t="s">
        <v>28</v>
      </c>
      <c r="Q18" s="40" t="s">
        <v>37</v>
      </c>
      <c r="R18" s="31" t="s">
        <v>30</v>
      </c>
      <c r="S18" s="37" t="s">
        <v>28</v>
      </c>
      <c r="T18" s="21" t="s">
        <v>102</v>
      </c>
      <c r="AB18" s="42"/>
      <c r="AC18" s="21" t="s">
        <v>103</v>
      </c>
      <c r="AD18" s="21"/>
      <c r="AE18" s="21"/>
      <c r="AF18" s="33"/>
      <c r="AG18" s="33"/>
      <c r="AH18" s="33"/>
      <c r="AI18" s="33"/>
      <c r="AJ18" s="33"/>
      <c r="AK18" s="33"/>
    </row>
    <row r="19" spans="1:37" ht="15.75" customHeight="1">
      <c r="A19" s="21">
        <v>17</v>
      </c>
      <c r="B19" s="21" t="s">
        <v>104</v>
      </c>
      <c r="C19" s="21">
        <v>2022</v>
      </c>
      <c r="D19" s="21" t="s">
        <v>105</v>
      </c>
      <c r="E19" s="22" t="s">
        <v>24</v>
      </c>
      <c r="F19" s="34" t="s">
        <v>36</v>
      </c>
      <c r="G19" s="34" t="s">
        <v>36</v>
      </c>
      <c r="H19" s="21" t="s">
        <v>36</v>
      </c>
      <c r="I19" s="24" t="s">
        <v>26</v>
      </c>
      <c r="J19" s="35" t="s">
        <v>36</v>
      </c>
      <c r="K19" s="36" t="s">
        <v>27</v>
      </c>
      <c r="L19" s="37" t="s">
        <v>28</v>
      </c>
      <c r="M19" s="37" t="s">
        <v>28</v>
      </c>
      <c r="N19" s="37" t="s">
        <v>28</v>
      </c>
      <c r="O19" s="39" t="s">
        <v>27</v>
      </c>
      <c r="P19" s="38" t="s">
        <v>27</v>
      </c>
      <c r="Q19" s="44" t="s">
        <v>29</v>
      </c>
      <c r="R19" s="31" t="s">
        <v>30</v>
      </c>
      <c r="S19" s="28" t="s">
        <v>27</v>
      </c>
      <c r="T19" s="21" t="s">
        <v>106</v>
      </c>
      <c r="AB19" s="42"/>
      <c r="AC19" s="21" t="s">
        <v>107</v>
      </c>
      <c r="AD19" s="21"/>
      <c r="AE19" s="21"/>
      <c r="AF19" s="33"/>
      <c r="AG19" s="33"/>
      <c r="AH19" s="33"/>
      <c r="AI19" s="33"/>
      <c r="AJ19" s="33"/>
      <c r="AK19" s="33"/>
    </row>
    <row r="20" spans="1:37" ht="15.75" customHeight="1">
      <c r="A20" s="21">
        <v>18</v>
      </c>
      <c r="B20" s="21" t="s">
        <v>108</v>
      </c>
      <c r="C20" s="21">
        <v>2023</v>
      </c>
      <c r="D20" s="21" t="s">
        <v>109</v>
      </c>
      <c r="E20" s="22" t="s">
        <v>24</v>
      </c>
      <c r="F20" s="34" t="s">
        <v>36</v>
      </c>
      <c r="G20" s="34" t="s">
        <v>36</v>
      </c>
      <c r="H20" s="21" t="s">
        <v>36</v>
      </c>
      <c r="I20" s="23" t="s">
        <v>25</v>
      </c>
      <c r="J20" s="35" t="s">
        <v>36</v>
      </c>
      <c r="K20" s="36" t="s">
        <v>27</v>
      </c>
      <c r="L20" s="37" t="s">
        <v>28</v>
      </c>
      <c r="M20" s="38" t="s">
        <v>27</v>
      </c>
      <c r="N20" s="37" t="s">
        <v>28</v>
      </c>
      <c r="O20" s="39" t="s">
        <v>27</v>
      </c>
      <c r="P20" s="38" t="s">
        <v>27</v>
      </c>
      <c r="Q20" s="40" t="s">
        <v>37</v>
      </c>
      <c r="R20" s="41" t="s">
        <v>38</v>
      </c>
      <c r="S20" s="28" t="s">
        <v>27</v>
      </c>
      <c r="T20" s="21" t="s">
        <v>110</v>
      </c>
      <c r="AB20" s="42"/>
      <c r="AC20" s="21" t="s">
        <v>111</v>
      </c>
      <c r="AD20" s="21"/>
      <c r="AE20" s="21"/>
      <c r="AF20" s="33"/>
      <c r="AG20" s="33"/>
      <c r="AH20" s="33"/>
      <c r="AI20" s="33"/>
      <c r="AJ20" s="33"/>
      <c r="AK20" s="33"/>
    </row>
    <row r="21" spans="1:37" ht="15.75" customHeight="1">
      <c r="A21" s="21">
        <v>19</v>
      </c>
      <c r="B21" s="21" t="s">
        <v>112</v>
      </c>
      <c r="C21" s="21">
        <v>2023</v>
      </c>
      <c r="D21" s="21" t="s">
        <v>113</v>
      </c>
      <c r="E21" s="22" t="s">
        <v>114</v>
      </c>
      <c r="F21" s="23" t="s">
        <v>25</v>
      </c>
      <c r="G21" s="23" t="s">
        <v>25</v>
      </c>
      <c r="H21" s="21" t="s">
        <v>36</v>
      </c>
      <c r="I21" s="24" t="s">
        <v>26</v>
      </c>
      <c r="J21" s="35" t="s">
        <v>36</v>
      </c>
      <c r="K21" s="36" t="s">
        <v>27</v>
      </c>
      <c r="L21" s="37" t="s">
        <v>28</v>
      </c>
      <c r="M21" s="45" t="s">
        <v>48</v>
      </c>
      <c r="N21" s="37" t="s">
        <v>28</v>
      </c>
      <c r="O21" s="39" t="s">
        <v>27</v>
      </c>
      <c r="P21" s="38" t="s">
        <v>27</v>
      </c>
      <c r="Q21" s="44" t="s">
        <v>29</v>
      </c>
      <c r="R21" s="31" t="s">
        <v>30</v>
      </c>
      <c r="S21" s="28" t="s">
        <v>27</v>
      </c>
      <c r="T21" s="21" t="s">
        <v>115</v>
      </c>
      <c r="AB21" s="42"/>
      <c r="AC21" s="21" t="s">
        <v>116</v>
      </c>
      <c r="AD21" s="21"/>
      <c r="AE21" s="21"/>
      <c r="AF21" s="33"/>
      <c r="AG21" s="33"/>
      <c r="AH21" s="33"/>
      <c r="AI21" s="33"/>
      <c r="AJ21" s="33"/>
      <c r="AK21" s="33"/>
    </row>
    <row r="22" spans="1:37" ht="15.75" customHeight="1">
      <c r="A22" s="21">
        <v>20</v>
      </c>
      <c r="B22" s="21" t="s">
        <v>117</v>
      </c>
      <c r="C22" s="21">
        <v>2011</v>
      </c>
      <c r="D22" s="21" t="s">
        <v>118</v>
      </c>
      <c r="E22" s="22" t="s">
        <v>119</v>
      </c>
      <c r="F22" s="34" t="s">
        <v>36</v>
      </c>
      <c r="G22" s="23" t="s">
        <v>25</v>
      </c>
      <c r="H22" s="21" t="s">
        <v>25</v>
      </c>
      <c r="I22" s="24" t="s">
        <v>26</v>
      </c>
      <c r="J22" s="35" t="s">
        <v>36</v>
      </c>
      <c r="K22" s="36" t="s">
        <v>27</v>
      </c>
      <c r="L22" s="37" t="s">
        <v>28</v>
      </c>
      <c r="M22" s="45" t="s">
        <v>48</v>
      </c>
      <c r="N22" s="45" t="s">
        <v>48</v>
      </c>
      <c r="O22" s="46" t="s">
        <v>28</v>
      </c>
      <c r="P22" s="37" t="s">
        <v>28</v>
      </c>
      <c r="Q22" s="44" t="s">
        <v>29</v>
      </c>
      <c r="R22" s="41" t="s">
        <v>38</v>
      </c>
      <c r="S22" s="37" t="s">
        <v>28</v>
      </c>
      <c r="T22" s="21" t="s">
        <v>120</v>
      </c>
      <c r="AB22" s="42"/>
      <c r="AC22" s="21" t="s">
        <v>121</v>
      </c>
      <c r="AD22" s="21"/>
      <c r="AE22" s="21"/>
      <c r="AF22" s="33"/>
      <c r="AG22" s="33"/>
      <c r="AH22" s="33"/>
      <c r="AI22" s="33"/>
      <c r="AJ22" s="33"/>
      <c r="AK22" s="33"/>
    </row>
    <row r="23" spans="1:37" ht="15.75" customHeight="1">
      <c r="A23" s="21">
        <v>21</v>
      </c>
      <c r="B23" s="21" t="s">
        <v>122</v>
      </c>
      <c r="C23" s="21">
        <v>2009</v>
      </c>
      <c r="D23" s="21" t="s">
        <v>123</v>
      </c>
      <c r="E23" s="22" t="s">
        <v>73</v>
      </c>
      <c r="F23" s="23" t="s">
        <v>25</v>
      </c>
      <c r="G23" s="23" t="s">
        <v>25</v>
      </c>
      <c r="H23" s="21" t="s">
        <v>25</v>
      </c>
      <c r="I23" s="24" t="s">
        <v>26</v>
      </c>
      <c r="J23" s="35" t="s">
        <v>36</v>
      </c>
      <c r="K23" s="36" t="s">
        <v>27</v>
      </c>
      <c r="L23" s="37" t="s">
        <v>28</v>
      </c>
      <c r="M23" s="45" t="s">
        <v>48</v>
      </c>
      <c r="N23" s="37" t="s">
        <v>28</v>
      </c>
      <c r="O23" s="39" t="s">
        <v>27</v>
      </c>
      <c r="P23" s="38" t="s">
        <v>27</v>
      </c>
      <c r="Q23" s="44" t="s">
        <v>29</v>
      </c>
      <c r="R23" s="31" t="s">
        <v>30</v>
      </c>
      <c r="S23" s="37" t="s">
        <v>28</v>
      </c>
      <c r="T23" s="21" t="s">
        <v>124</v>
      </c>
      <c r="AB23" s="42"/>
      <c r="AC23" s="21" t="s">
        <v>125</v>
      </c>
      <c r="AD23" s="21"/>
      <c r="AE23" s="21"/>
      <c r="AF23" s="33"/>
      <c r="AG23" s="33"/>
      <c r="AH23" s="33"/>
      <c r="AI23" s="33"/>
      <c r="AJ23" s="33"/>
      <c r="AK23" s="33"/>
    </row>
    <row r="24" spans="1:37" ht="15.75" customHeight="1">
      <c r="A24" s="21">
        <v>22</v>
      </c>
      <c r="B24" s="21" t="s">
        <v>126</v>
      </c>
      <c r="C24" s="21">
        <v>2023</v>
      </c>
      <c r="D24" s="21" t="s">
        <v>127</v>
      </c>
      <c r="E24" s="22" t="s">
        <v>119</v>
      </c>
      <c r="F24" s="34" t="s">
        <v>36</v>
      </c>
      <c r="G24" s="34" t="s">
        <v>36</v>
      </c>
      <c r="H24" s="21" t="s">
        <v>36</v>
      </c>
      <c r="I24" s="24" t="s">
        <v>26</v>
      </c>
      <c r="J24" s="35" t="s">
        <v>36</v>
      </c>
      <c r="K24" s="43" t="s">
        <v>28</v>
      </c>
      <c r="L24" s="37" t="s">
        <v>28</v>
      </c>
      <c r="M24" s="37" t="s">
        <v>28</v>
      </c>
      <c r="N24" s="45" t="s">
        <v>48</v>
      </c>
      <c r="O24" s="46" t="s">
        <v>28</v>
      </c>
      <c r="P24" s="37" t="s">
        <v>28</v>
      </c>
      <c r="Q24" s="44" t="s">
        <v>29</v>
      </c>
      <c r="R24" s="41" t="s">
        <v>38</v>
      </c>
      <c r="S24" s="37" t="s">
        <v>28</v>
      </c>
      <c r="T24" s="21" t="s">
        <v>128</v>
      </c>
      <c r="AB24" s="42"/>
      <c r="AC24" s="21" t="s">
        <v>129</v>
      </c>
      <c r="AD24" s="21"/>
      <c r="AE24" s="21"/>
      <c r="AF24" s="33"/>
      <c r="AG24" s="33"/>
      <c r="AH24" s="33"/>
      <c r="AI24" s="33"/>
      <c r="AJ24" s="33"/>
      <c r="AK24" s="33"/>
    </row>
    <row r="25" spans="1:37" ht="15.75" customHeight="1">
      <c r="A25" s="21">
        <v>23</v>
      </c>
      <c r="B25" s="21" t="s">
        <v>130</v>
      </c>
      <c r="C25" s="21">
        <v>2016</v>
      </c>
      <c r="D25" s="21" t="s">
        <v>131</v>
      </c>
      <c r="E25" s="22" t="s">
        <v>24</v>
      </c>
      <c r="F25" s="23" t="s">
        <v>25</v>
      </c>
      <c r="G25" s="23" t="s">
        <v>25</v>
      </c>
      <c r="H25" s="21" t="s">
        <v>25</v>
      </c>
      <c r="I25" s="24" t="s">
        <v>26</v>
      </c>
      <c r="J25" s="35" t="s">
        <v>36</v>
      </c>
      <c r="K25" s="36" t="s">
        <v>27</v>
      </c>
      <c r="L25" s="38" t="s">
        <v>27</v>
      </c>
      <c r="M25" s="37" t="s">
        <v>28</v>
      </c>
      <c r="N25" s="45" t="s">
        <v>48</v>
      </c>
      <c r="O25" s="39" t="s">
        <v>27</v>
      </c>
      <c r="P25" s="37" t="s">
        <v>28</v>
      </c>
      <c r="Q25" s="44" t="s">
        <v>29</v>
      </c>
      <c r="R25" s="41" t="s">
        <v>38</v>
      </c>
      <c r="S25" s="37" t="s">
        <v>28</v>
      </c>
      <c r="T25" s="21" t="s">
        <v>132</v>
      </c>
      <c r="AB25" s="42"/>
      <c r="AC25" s="21" t="s">
        <v>133</v>
      </c>
      <c r="AD25" s="21"/>
      <c r="AE25" s="21"/>
      <c r="AF25" s="33"/>
      <c r="AG25" s="33"/>
      <c r="AH25" s="33"/>
      <c r="AI25" s="33"/>
      <c r="AJ25" s="33"/>
      <c r="AK25" s="33"/>
    </row>
    <row r="26" spans="1:37" ht="15.75" customHeight="1">
      <c r="A26" s="21">
        <v>24</v>
      </c>
      <c r="B26" s="21" t="s">
        <v>134</v>
      </c>
      <c r="C26" s="21">
        <v>2023</v>
      </c>
      <c r="D26" s="21" t="s">
        <v>135</v>
      </c>
      <c r="E26" s="22" t="s">
        <v>24</v>
      </c>
      <c r="F26" s="23" t="s">
        <v>25</v>
      </c>
      <c r="G26" s="34" t="s">
        <v>36</v>
      </c>
      <c r="H26" s="21" t="s">
        <v>36</v>
      </c>
      <c r="I26" s="23" t="s">
        <v>25</v>
      </c>
      <c r="J26" s="35" t="s">
        <v>36</v>
      </c>
      <c r="K26" s="36" t="s">
        <v>27</v>
      </c>
      <c r="L26" s="38" t="s">
        <v>27</v>
      </c>
      <c r="M26" s="38" t="s">
        <v>27</v>
      </c>
      <c r="N26" s="38" t="s">
        <v>27</v>
      </c>
      <c r="O26" s="39" t="s">
        <v>27</v>
      </c>
      <c r="P26" s="38" t="s">
        <v>27</v>
      </c>
      <c r="Q26" s="40" t="s">
        <v>37</v>
      </c>
      <c r="R26" s="41" t="s">
        <v>38</v>
      </c>
      <c r="S26" s="28" t="s">
        <v>27</v>
      </c>
      <c r="T26" s="21" t="s">
        <v>136</v>
      </c>
      <c r="AB26" s="42"/>
      <c r="AC26" s="21" t="s">
        <v>137</v>
      </c>
      <c r="AD26" s="21"/>
      <c r="AE26" s="21"/>
      <c r="AF26" s="33"/>
      <c r="AG26" s="33"/>
      <c r="AH26" s="33"/>
      <c r="AI26" s="33"/>
      <c r="AJ26" s="33"/>
      <c r="AK26" s="33"/>
    </row>
    <row r="27" spans="1:37" ht="15.75" customHeight="1">
      <c r="A27" s="21">
        <v>25</v>
      </c>
      <c r="B27" s="21" t="s">
        <v>138</v>
      </c>
      <c r="C27" s="21">
        <v>2024</v>
      </c>
      <c r="D27" s="21" t="s">
        <v>139</v>
      </c>
      <c r="E27" s="22" t="s">
        <v>24</v>
      </c>
      <c r="F27" s="34" t="s">
        <v>36</v>
      </c>
      <c r="G27" s="23" t="s">
        <v>25</v>
      </c>
      <c r="H27" s="21" t="s">
        <v>36</v>
      </c>
      <c r="I27" s="24" t="s">
        <v>26</v>
      </c>
      <c r="J27" s="35" t="s">
        <v>36</v>
      </c>
      <c r="K27" s="36" t="s">
        <v>27</v>
      </c>
      <c r="L27" s="38" t="s">
        <v>27</v>
      </c>
      <c r="M27" s="37" t="s">
        <v>28</v>
      </c>
      <c r="N27" s="45" t="s">
        <v>48</v>
      </c>
      <c r="O27" s="39" t="s">
        <v>27</v>
      </c>
      <c r="P27" s="37" t="s">
        <v>28</v>
      </c>
      <c r="Q27" s="44" t="s">
        <v>29</v>
      </c>
      <c r="R27" s="41" t="s">
        <v>38</v>
      </c>
      <c r="S27" s="37" t="s">
        <v>28</v>
      </c>
      <c r="T27" s="21" t="s">
        <v>140</v>
      </c>
      <c r="AB27" s="42"/>
      <c r="AC27" s="21" t="s">
        <v>141</v>
      </c>
      <c r="AD27" s="21"/>
      <c r="AE27" s="21"/>
      <c r="AF27" s="33"/>
      <c r="AG27" s="33"/>
      <c r="AH27" s="33"/>
      <c r="AI27" s="33"/>
      <c r="AJ27" s="33"/>
      <c r="AK27" s="33"/>
    </row>
    <row r="28" spans="1:37" ht="15.75" customHeight="1">
      <c r="A28" s="21">
        <v>26</v>
      </c>
      <c r="B28" s="21" t="s">
        <v>142</v>
      </c>
      <c r="C28" s="21">
        <v>2021</v>
      </c>
      <c r="D28" s="21" t="s">
        <v>143</v>
      </c>
      <c r="E28" s="22" t="s">
        <v>24</v>
      </c>
      <c r="F28" s="34" t="s">
        <v>36</v>
      </c>
      <c r="G28" s="34" t="s">
        <v>36</v>
      </c>
      <c r="H28" s="21" t="s">
        <v>36</v>
      </c>
      <c r="I28" s="23" t="s">
        <v>25</v>
      </c>
      <c r="J28" s="35" t="s">
        <v>36</v>
      </c>
      <c r="K28" s="43" t="s">
        <v>28</v>
      </c>
      <c r="L28" s="38" t="s">
        <v>27</v>
      </c>
      <c r="M28" s="38" t="s">
        <v>27</v>
      </c>
      <c r="N28" s="37" t="s">
        <v>28</v>
      </c>
      <c r="O28" s="39" t="s">
        <v>27</v>
      </c>
      <c r="P28" s="38" t="s">
        <v>27</v>
      </c>
      <c r="Q28" s="40" t="s">
        <v>37</v>
      </c>
      <c r="R28" s="41" t="s">
        <v>38</v>
      </c>
      <c r="S28" s="28" t="s">
        <v>27</v>
      </c>
      <c r="T28" s="21" t="s">
        <v>144</v>
      </c>
      <c r="AB28" s="42"/>
      <c r="AC28" s="21" t="s">
        <v>145</v>
      </c>
      <c r="AD28" s="21"/>
      <c r="AE28" s="21"/>
      <c r="AF28" s="33"/>
      <c r="AG28" s="33"/>
      <c r="AH28" s="33"/>
      <c r="AI28" s="33"/>
      <c r="AJ28" s="33"/>
      <c r="AK28" s="33"/>
    </row>
    <row r="29" spans="1:37" ht="15.75" customHeight="1">
      <c r="A29" s="21">
        <v>27</v>
      </c>
      <c r="B29" s="21" t="s">
        <v>146</v>
      </c>
      <c r="C29" s="21">
        <v>2018</v>
      </c>
      <c r="D29" s="21" t="s">
        <v>147</v>
      </c>
      <c r="E29" s="22" t="s">
        <v>24</v>
      </c>
      <c r="F29" s="23" t="s">
        <v>25</v>
      </c>
      <c r="G29" s="23" t="s">
        <v>25</v>
      </c>
      <c r="H29" s="21" t="s">
        <v>36</v>
      </c>
      <c r="I29" s="24" t="s">
        <v>26</v>
      </c>
      <c r="J29" s="35" t="s">
        <v>36</v>
      </c>
      <c r="K29" s="43" t="s">
        <v>28</v>
      </c>
      <c r="L29" s="45" t="s">
        <v>48</v>
      </c>
      <c r="M29" s="37" t="s">
        <v>28</v>
      </c>
      <c r="N29" s="37" t="s">
        <v>28</v>
      </c>
      <c r="O29" s="39" t="s">
        <v>27</v>
      </c>
      <c r="P29" s="37" t="s">
        <v>28</v>
      </c>
      <c r="Q29" s="44" t="s">
        <v>29</v>
      </c>
      <c r="R29" s="41" t="s">
        <v>38</v>
      </c>
      <c r="S29" s="37" t="s">
        <v>28</v>
      </c>
      <c r="T29" s="21" t="s">
        <v>148</v>
      </c>
      <c r="AB29" s="42"/>
      <c r="AC29" s="21" t="s">
        <v>149</v>
      </c>
      <c r="AD29" s="21"/>
      <c r="AE29" s="21"/>
      <c r="AF29" s="33"/>
      <c r="AG29" s="33"/>
      <c r="AH29" s="33"/>
      <c r="AI29" s="33"/>
      <c r="AJ29" s="33"/>
      <c r="AK29" s="33"/>
    </row>
    <row r="30" spans="1:37" ht="15.75" customHeight="1">
      <c r="A30" s="21">
        <v>28</v>
      </c>
      <c r="B30" s="21" t="s">
        <v>150</v>
      </c>
      <c r="C30" s="21">
        <v>2019</v>
      </c>
      <c r="D30" s="21" t="s">
        <v>151</v>
      </c>
      <c r="E30" s="22" t="s">
        <v>24</v>
      </c>
      <c r="F30" s="34" t="s">
        <v>36</v>
      </c>
      <c r="G30" s="34" t="s">
        <v>36</v>
      </c>
      <c r="H30" s="21" t="s">
        <v>26</v>
      </c>
      <c r="I30" s="25" t="s">
        <v>25</v>
      </c>
      <c r="J30" s="35" t="s">
        <v>36</v>
      </c>
      <c r="K30" s="36" t="s">
        <v>27</v>
      </c>
      <c r="L30" s="38" t="s">
        <v>27</v>
      </c>
      <c r="M30" s="45" t="s">
        <v>48</v>
      </c>
      <c r="N30" s="37" t="s">
        <v>28</v>
      </c>
      <c r="O30" s="46" t="s">
        <v>28</v>
      </c>
      <c r="P30" s="38" t="s">
        <v>27</v>
      </c>
      <c r="Q30" s="40" t="s">
        <v>37</v>
      </c>
      <c r="R30" s="41" t="s">
        <v>38</v>
      </c>
      <c r="S30" s="38" t="s">
        <v>27</v>
      </c>
      <c r="T30" s="21" t="s">
        <v>152</v>
      </c>
      <c r="AB30" s="42"/>
      <c r="AC30" s="21" t="s">
        <v>153</v>
      </c>
      <c r="AD30" s="21"/>
      <c r="AE30" s="21"/>
      <c r="AF30" s="33"/>
      <c r="AG30" s="33"/>
      <c r="AH30" s="33"/>
      <c r="AI30" s="33"/>
      <c r="AJ30" s="33"/>
      <c r="AK30" s="33"/>
    </row>
    <row r="31" spans="1:37" ht="15.75" customHeight="1">
      <c r="A31" s="21">
        <v>29</v>
      </c>
      <c r="B31" s="21" t="s">
        <v>154</v>
      </c>
      <c r="C31" s="21">
        <v>2019</v>
      </c>
      <c r="D31" s="21" t="s">
        <v>155</v>
      </c>
      <c r="E31" s="22" t="s">
        <v>24</v>
      </c>
      <c r="F31" s="34" t="s">
        <v>36</v>
      </c>
      <c r="G31" s="34" t="s">
        <v>36</v>
      </c>
      <c r="H31" s="21" t="s">
        <v>36</v>
      </c>
      <c r="I31" s="24" t="s">
        <v>26</v>
      </c>
      <c r="J31" s="35" t="s">
        <v>36</v>
      </c>
      <c r="K31" s="36" t="s">
        <v>27</v>
      </c>
      <c r="L31" s="38" t="s">
        <v>27</v>
      </c>
      <c r="M31" s="37" t="s">
        <v>28</v>
      </c>
      <c r="N31" s="45" t="s">
        <v>48</v>
      </c>
      <c r="O31" s="39" t="s">
        <v>27</v>
      </c>
      <c r="P31" s="37" t="s">
        <v>28</v>
      </c>
      <c r="Q31" s="44" t="s">
        <v>29</v>
      </c>
      <c r="R31" s="41" t="s">
        <v>38</v>
      </c>
      <c r="S31" s="37" t="s">
        <v>28</v>
      </c>
      <c r="T31" s="21" t="s">
        <v>156</v>
      </c>
      <c r="AB31" s="42"/>
      <c r="AC31" s="21" t="s">
        <v>157</v>
      </c>
      <c r="AD31" s="21"/>
      <c r="AE31" s="21"/>
      <c r="AF31" s="33"/>
      <c r="AG31" s="33"/>
      <c r="AH31" s="33"/>
      <c r="AI31" s="33"/>
      <c r="AJ31" s="33"/>
      <c r="AK31" s="33"/>
    </row>
    <row r="32" spans="1:37" ht="15.75" customHeight="1">
      <c r="A32" s="21">
        <v>30</v>
      </c>
      <c r="B32" s="21" t="s">
        <v>158</v>
      </c>
      <c r="C32" s="21">
        <v>2017</v>
      </c>
      <c r="D32" s="21" t="s">
        <v>159</v>
      </c>
      <c r="E32" s="22" t="s">
        <v>24</v>
      </c>
      <c r="F32" s="23" t="s">
        <v>25</v>
      </c>
      <c r="G32" s="23" t="s">
        <v>25</v>
      </c>
      <c r="H32" s="23" t="s">
        <v>25</v>
      </c>
      <c r="I32" s="23" t="s">
        <v>25</v>
      </c>
      <c r="J32" s="25" t="s">
        <v>25</v>
      </c>
      <c r="K32" s="43" t="s">
        <v>28</v>
      </c>
      <c r="L32" s="37" t="s">
        <v>28</v>
      </c>
      <c r="M32" s="45" t="s">
        <v>48</v>
      </c>
      <c r="N32" s="45" t="s">
        <v>48</v>
      </c>
      <c r="O32" s="46" t="s">
        <v>28</v>
      </c>
      <c r="P32" s="37" t="s">
        <v>28</v>
      </c>
      <c r="Q32" s="44" t="s">
        <v>29</v>
      </c>
      <c r="R32" s="41" t="s">
        <v>38</v>
      </c>
      <c r="S32" s="37" t="s">
        <v>28</v>
      </c>
      <c r="T32" s="21" t="s">
        <v>160</v>
      </c>
      <c r="AB32" s="42"/>
      <c r="AC32" s="21" t="s">
        <v>161</v>
      </c>
      <c r="AD32" s="21"/>
      <c r="AE32" s="21"/>
      <c r="AF32" s="33"/>
      <c r="AG32" s="33"/>
      <c r="AH32" s="33"/>
      <c r="AI32" s="33"/>
      <c r="AJ32" s="33"/>
      <c r="AK32" s="33"/>
    </row>
    <row r="33" spans="1:37" ht="15.75" customHeight="1">
      <c r="A33" s="21">
        <v>31</v>
      </c>
      <c r="B33" s="21" t="s">
        <v>162</v>
      </c>
      <c r="C33" s="21">
        <v>2022</v>
      </c>
      <c r="D33" s="21" t="s">
        <v>163</v>
      </c>
      <c r="E33" s="22" t="s">
        <v>164</v>
      </c>
      <c r="F33" s="23" t="s">
        <v>25</v>
      </c>
      <c r="G33" s="23" t="s">
        <v>25</v>
      </c>
      <c r="H33" s="21" t="s">
        <v>25</v>
      </c>
      <c r="I33" s="24" t="s">
        <v>26</v>
      </c>
      <c r="J33" s="35" t="s">
        <v>36</v>
      </c>
      <c r="K33" s="36" t="s">
        <v>27</v>
      </c>
      <c r="L33" s="37" t="s">
        <v>28</v>
      </c>
      <c r="M33" s="45" t="s">
        <v>48</v>
      </c>
      <c r="N33" s="45" t="s">
        <v>48</v>
      </c>
      <c r="O33" s="39" t="s">
        <v>27</v>
      </c>
      <c r="P33" s="37" t="s">
        <v>28</v>
      </c>
      <c r="Q33" s="44" t="s">
        <v>29</v>
      </c>
      <c r="R33" s="41" t="s">
        <v>38</v>
      </c>
      <c r="S33" s="37" t="s">
        <v>28</v>
      </c>
      <c r="T33" s="21" t="s">
        <v>165</v>
      </c>
      <c r="AB33" s="42"/>
      <c r="AC33" s="21" t="s">
        <v>166</v>
      </c>
      <c r="AD33" s="21"/>
      <c r="AE33" s="21"/>
      <c r="AF33" s="33"/>
      <c r="AG33" s="33"/>
      <c r="AH33" s="33"/>
      <c r="AI33" s="33"/>
      <c r="AJ33" s="33"/>
      <c r="AK33" s="33"/>
    </row>
    <row r="34" spans="1:37" ht="15.75" customHeight="1">
      <c r="A34" s="21">
        <v>32</v>
      </c>
      <c r="B34" s="21" t="s">
        <v>167</v>
      </c>
      <c r="C34" s="21">
        <v>2021</v>
      </c>
      <c r="D34" s="21" t="s">
        <v>168</v>
      </c>
      <c r="E34" s="22" t="s">
        <v>35</v>
      </c>
      <c r="F34" s="24" t="s">
        <v>26</v>
      </c>
      <c r="G34" s="24" t="s">
        <v>26</v>
      </c>
      <c r="H34" s="21" t="s">
        <v>26</v>
      </c>
      <c r="I34" s="24" t="s">
        <v>26</v>
      </c>
      <c r="J34" s="25" t="s">
        <v>25</v>
      </c>
      <c r="K34" s="48" t="s">
        <v>48</v>
      </c>
      <c r="L34" s="45" t="s">
        <v>48</v>
      </c>
      <c r="M34" s="45" t="s">
        <v>48</v>
      </c>
      <c r="N34" s="45" t="s">
        <v>48</v>
      </c>
      <c r="O34" s="49" t="s">
        <v>48</v>
      </c>
      <c r="P34" s="45" t="s">
        <v>48</v>
      </c>
      <c r="Q34" s="47" t="s">
        <v>97</v>
      </c>
      <c r="R34" s="41" t="s">
        <v>38</v>
      </c>
      <c r="S34" s="45" t="s">
        <v>48</v>
      </c>
      <c r="T34" s="21" t="s">
        <v>169</v>
      </c>
      <c r="AB34" s="42"/>
      <c r="AC34" s="21" t="s">
        <v>170</v>
      </c>
      <c r="AD34" s="21"/>
      <c r="AE34" s="21"/>
      <c r="AF34" s="33"/>
      <c r="AG34" s="33"/>
      <c r="AH34" s="33"/>
      <c r="AI34" s="33"/>
      <c r="AJ34" s="33"/>
      <c r="AK34" s="33"/>
    </row>
    <row r="35" spans="1:37" ht="15.75" customHeight="1">
      <c r="A35" s="21">
        <v>33</v>
      </c>
      <c r="B35" s="21" t="s">
        <v>171</v>
      </c>
      <c r="C35" s="21">
        <v>2021</v>
      </c>
      <c r="D35" s="21" t="s">
        <v>172</v>
      </c>
      <c r="E35" s="22" t="s">
        <v>173</v>
      </c>
      <c r="F35" s="34" t="s">
        <v>36</v>
      </c>
      <c r="G35" s="34" t="s">
        <v>36</v>
      </c>
      <c r="H35" s="21" t="s">
        <v>26</v>
      </c>
      <c r="I35" s="23" t="s">
        <v>25</v>
      </c>
      <c r="J35" s="34" t="s">
        <v>36</v>
      </c>
      <c r="K35" s="43" t="s">
        <v>28</v>
      </c>
      <c r="L35" s="36" t="s">
        <v>27</v>
      </c>
      <c r="M35" s="37" t="s">
        <v>28</v>
      </c>
      <c r="N35" s="37" t="s">
        <v>28</v>
      </c>
      <c r="O35" s="39" t="s">
        <v>27</v>
      </c>
      <c r="P35" s="38" t="s">
        <v>27</v>
      </c>
      <c r="Q35" s="40" t="s">
        <v>37</v>
      </c>
      <c r="R35" s="41" t="s">
        <v>38</v>
      </c>
      <c r="S35" s="38" t="s">
        <v>27</v>
      </c>
      <c r="T35" s="21" t="s">
        <v>174</v>
      </c>
      <c r="AB35" s="42"/>
      <c r="AC35" s="21" t="s">
        <v>175</v>
      </c>
      <c r="AD35" s="21"/>
      <c r="AE35" s="21"/>
      <c r="AF35" s="33"/>
      <c r="AG35" s="33"/>
      <c r="AH35" s="33"/>
      <c r="AI35" s="33"/>
      <c r="AJ35" s="33"/>
      <c r="AK35" s="33"/>
    </row>
    <row r="36" spans="1:37" ht="15.75" customHeight="1">
      <c r="A36" s="21">
        <v>34</v>
      </c>
      <c r="B36" s="21" t="s">
        <v>176</v>
      </c>
      <c r="C36" s="21">
        <v>2023</v>
      </c>
      <c r="D36" s="21" t="s">
        <v>177</v>
      </c>
      <c r="E36" s="22" t="s">
        <v>178</v>
      </c>
      <c r="F36" s="23" t="s">
        <v>25</v>
      </c>
      <c r="G36" s="23" t="s">
        <v>25</v>
      </c>
      <c r="H36" s="23" t="s">
        <v>25</v>
      </c>
      <c r="I36" s="23" t="s">
        <v>25</v>
      </c>
      <c r="J36" s="25" t="s">
        <v>25</v>
      </c>
      <c r="K36" s="43" t="s">
        <v>28</v>
      </c>
      <c r="L36" s="37" t="s">
        <v>28</v>
      </c>
      <c r="M36" s="45" t="s">
        <v>48</v>
      </c>
      <c r="N36" s="45" t="s">
        <v>48</v>
      </c>
      <c r="O36" s="46" t="s">
        <v>28</v>
      </c>
      <c r="P36" s="37" t="s">
        <v>28</v>
      </c>
      <c r="Q36" s="44" t="s">
        <v>29</v>
      </c>
      <c r="R36" s="41" t="s">
        <v>38</v>
      </c>
      <c r="S36" s="37" t="s">
        <v>28</v>
      </c>
      <c r="T36" s="21" t="s">
        <v>179</v>
      </c>
      <c r="AB36" s="42"/>
      <c r="AC36" s="21" t="s">
        <v>180</v>
      </c>
      <c r="AD36" s="21"/>
      <c r="AE36" s="21"/>
      <c r="AF36" s="33"/>
      <c r="AG36" s="33"/>
      <c r="AH36" s="33"/>
      <c r="AI36" s="33"/>
      <c r="AJ36" s="33"/>
      <c r="AK36" s="33"/>
    </row>
    <row r="37" spans="1:37" ht="15.75" customHeight="1">
      <c r="A37" s="21">
        <v>35</v>
      </c>
      <c r="B37" s="21" t="s">
        <v>181</v>
      </c>
      <c r="C37" s="21">
        <v>2014</v>
      </c>
      <c r="D37" s="21" t="s">
        <v>182</v>
      </c>
      <c r="E37" s="22" t="s">
        <v>183</v>
      </c>
      <c r="F37" s="23" t="s">
        <v>25</v>
      </c>
      <c r="G37" s="24" t="s">
        <v>26</v>
      </c>
      <c r="H37" s="21" t="s">
        <v>25</v>
      </c>
      <c r="I37" s="24" t="s">
        <v>26</v>
      </c>
      <c r="J37" s="25" t="s">
        <v>25</v>
      </c>
      <c r="K37" s="36" t="s">
        <v>27</v>
      </c>
      <c r="L37" s="37" t="s">
        <v>28</v>
      </c>
      <c r="M37" s="38" t="s">
        <v>27</v>
      </c>
      <c r="N37" s="38" t="s">
        <v>27</v>
      </c>
      <c r="O37" s="46" t="s">
        <v>28</v>
      </c>
      <c r="P37" s="38" t="s">
        <v>27</v>
      </c>
      <c r="Q37" s="47" t="s">
        <v>97</v>
      </c>
      <c r="R37" s="31" t="s">
        <v>30</v>
      </c>
      <c r="S37" s="37" t="s">
        <v>28</v>
      </c>
      <c r="T37" s="21" t="s">
        <v>184</v>
      </c>
      <c r="AB37" s="42"/>
      <c r="AC37" s="21" t="s">
        <v>185</v>
      </c>
      <c r="AD37" s="21"/>
      <c r="AE37" s="21"/>
      <c r="AF37" s="33"/>
      <c r="AG37" s="33"/>
      <c r="AH37" s="33"/>
      <c r="AI37" s="33"/>
      <c r="AJ37" s="33"/>
      <c r="AK37" s="33"/>
    </row>
    <row r="38" spans="1:37" ht="15.75" customHeight="1">
      <c r="A38" s="21">
        <v>36</v>
      </c>
      <c r="B38" s="21" t="s">
        <v>186</v>
      </c>
      <c r="C38" s="21">
        <v>2023</v>
      </c>
      <c r="D38" s="21" t="s">
        <v>187</v>
      </c>
      <c r="E38" s="22" t="s">
        <v>173</v>
      </c>
      <c r="F38" s="34" t="s">
        <v>36</v>
      </c>
      <c r="G38" s="34" t="s">
        <v>36</v>
      </c>
      <c r="H38" s="21" t="s">
        <v>36</v>
      </c>
      <c r="I38" s="23" t="s">
        <v>25</v>
      </c>
      <c r="J38" s="35" t="s">
        <v>36</v>
      </c>
      <c r="K38" s="36" t="s">
        <v>27</v>
      </c>
      <c r="L38" s="37" t="s">
        <v>28</v>
      </c>
      <c r="M38" s="37" t="s">
        <v>28</v>
      </c>
      <c r="N38" s="45" t="s">
        <v>48</v>
      </c>
      <c r="O38" s="46" t="s">
        <v>28</v>
      </c>
      <c r="P38" s="37" t="s">
        <v>28</v>
      </c>
      <c r="Q38" s="40" t="s">
        <v>37</v>
      </c>
      <c r="R38" s="31" t="s">
        <v>30</v>
      </c>
      <c r="S38" s="37" t="s">
        <v>28</v>
      </c>
      <c r="T38" s="21" t="s">
        <v>188</v>
      </c>
      <c r="AB38" s="42"/>
      <c r="AC38" s="21" t="s">
        <v>189</v>
      </c>
      <c r="AD38" s="21"/>
      <c r="AE38" s="21"/>
      <c r="AF38" s="33"/>
      <c r="AG38" s="33"/>
      <c r="AH38" s="33"/>
      <c r="AI38" s="33"/>
      <c r="AJ38" s="33"/>
      <c r="AK38" s="33"/>
    </row>
    <row r="39" spans="1:37" ht="15.75" customHeight="1">
      <c r="A39" s="21">
        <v>37</v>
      </c>
      <c r="B39" s="21" t="s">
        <v>190</v>
      </c>
      <c r="C39" s="21">
        <v>2022</v>
      </c>
      <c r="D39" s="21" t="s">
        <v>191</v>
      </c>
      <c r="E39" s="22" t="s">
        <v>24</v>
      </c>
      <c r="F39" s="34" t="s">
        <v>36</v>
      </c>
      <c r="G39" s="34" t="s">
        <v>36</v>
      </c>
      <c r="H39" s="21" t="s">
        <v>36</v>
      </c>
      <c r="I39" s="23" t="s">
        <v>25</v>
      </c>
      <c r="J39" s="35" t="s">
        <v>36</v>
      </c>
      <c r="K39" s="48" t="s">
        <v>48</v>
      </c>
      <c r="L39" s="37" t="s">
        <v>28</v>
      </c>
      <c r="M39" s="37" t="s">
        <v>28</v>
      </c>
      <c r="N39" s="38" t="s">
        <v>27</v>
      </c>
      <c r="O39" s="39" t="s">
        <v>27</v>
      </c>
      <c r="P39" s="37" t="s">
        <v>28</v>
      </c>
      <c r="Q39" s="40" t="s">
        <v>37</v>
      </c>
      <c r="R39" s="31" t="s">
        <v>30</v>
      </c>
      <c r="S39" s="38" t="s">
        <v>27</v>
      </c>
      <c r="T39" s="21" t="s">
        <v>192</v>
      </c>
      <c r="AB39" s="42"/>
      <c r="AC39" s="21" t="s">
        <v>193</v>
      </c>
      <c r="AD39" s="21"/>
      <c r="AE39" s="21"/>
      <c r="AF39" s="33"/>
      <c r="AG39" s="33"/>
      <c r="AH39" s="33"/>
      <c r="AI39" s="33"/>
      <c r="AJ39" s="33"/>
      <c r="AK39" s="33"/>
    </row>
    <row r="40" spans="1:37" ht="15.75" customHeight="1">
      <c r="A40" s="21">
        <v>38</v>
      </c>
      <c r="B40" s="21" t="s">
        <v>194</v>
      </c>
      <c r="C40" s="21">
        <v>2022</v>
      </c>
      <c r="D40" s="21" t="s">
        <v>195</v>
      </c>
      <c r="E40" s="22" t="s">
        <v>35</v>
      </c>
      <c r="F40" s="23" t="s">
        <v>25</v>
      </c>
      <c r="G40" s="23" t="s">
        <v>25</v>
      </c>
      <c r="H40" s="23" t="s">
        <v>25</v>
      </c>
      <c r="I40" s="23" t="s">
        <v>25</v>
      </c>
      <c r="J40" s="35" t="s">
        <v>36</v>
      </c>
      <c r="K40" s="36" t="s">
        <v>27</v>
      </c>
      <c r="L40" s="37" t="s">
        <v>28</v>
      </c>
      <c r="M40" s="38" t="s">
        <v>27</v>
      </c>
      <c r="N40" s="45" t="s">
        <v>48</v>
      </c>
      <c r="O40" s="39" t="s">
        <v>27</v>
      </c>
      <c r="P40" s="37" t="s">
        <v>28</v>
      </c>
      <c r="Q40" s="44" t="s">
        <v>29</v>
      </c>
      <c r="R40" s="41" t="s">
        <v>38</v>
      </c>
      <c r="S40" s="37" t="s">
        <v>28</v>
      </c>
      <c r="T40" s="21" t="s">
        <v>196</v>
      </c>
      <c r="AB40" s="42"/>
      <c r="AC40" s="21" t="s">
        <v>197</v>
      </c>
      <c r="AD40" s="21"/>
      <c r="AE40" s="21"/>
      <c r="AF40" s="33"/>
      <c r="AG40" s="33"/>
      <c r="AH40" s="33"/>
      <c r="AI40" s="33"/>
      <c r="AJ40" s="33"/>
      <c r="AK40" s="33"/>
    </row>
    <row r="41" spans="1:37" ht="15.75" customHeight="1">
      <c r="A41" s="21">
        <v>39</v>
      </c>
      <c r="B41" s="21" t="s">
        <v>198</v>
      </c>
      <c r="C41" s="21">
        <v>2022</v>
      </c>
      <c r="D41" s="21" t="s">
        <v>199</v>
      </c>
      <c r="E41" s="22" t="s">
        <v>35</v>
      </c>
      <c r="F41" s="23" t="s">
        <v>25</v>
      </c>
      <c r="G41" s="23" t="s">
        <v>25</v>
      </c>
      <c r="H41" s="23" t="s">
        <v>25</v>
      </c>
      <c r="I41" s="23" t="s">
        <v>25</v>
      </c>
      <c r="J41" s="35" t="s">
        <v>36</v>
      </c>
      <c r="K41" s="36" t="s">
        <v>27</v>
      </c>
      <c r="L41" s="37" t="s">
        <v>28</v>
      </c>
      <c r="M41" s="45" t="s">
        <v>48</v>
      </c>
      <c r="N41" s="45" t="s">
        <v>48</v>
      </c>
      <c r="O41" s="39" t="s">
        <v>27</v>
      </c>
      <c r="P41" s="37" t="s">
        <v>28</v>
      </c>
      <c r="Q41" s="44" t="s">
        <v>29</v>
      </c>
      <c r="R41" s="41" t="s">
        <v>38</v>
      </c>
      <c r="S41" s="37" t="s">
        <v>28</v>
      </c>
      <c r="T41" s="21" t="s">
        <v>200</v>
      </c>
      <c r="AB41" s="42"/>
      <c r="AC41" s="21" t="s">
        <v>201</v>
      </c>
      <c r="AD41" s="21"/>
      <c r="AE41" s="21"/>
      <c r="AF41" s="33"/>
      <c r="AG41" s="33"/>
      <c r="AH41" s="33"/>
      <c r="AI41" s="33"/>
      <c r="AJ41" s="33"/>
      <c r="AK41" s="33"/>
    </row>
    <row r="42" spans="1:37" ht="15.75" customHeight="1">
      <c r="A42" s="21">
        <v>40</v>
      </c>
      <c r="B42" s="21" t="s">
        <v>202</v>
      </c>
      <c r="C42" s="21">
        <v>2020</v>
      </c>
      <c r="D42" s="21" t="s">
        <v>203</v>
      </c>
      <c r="E42" s="22" t="s">
        <v>204</v>
      </c>
      <c r="F42" s="24" t="s">
        <v>26</v>
      </c>
      <c r="G42" s="24" t="s">
        <v>26</v>
      </c>
      <c r="H42" s="24" t="s">
        <v>26</v>
      </c>
      <c r="I42" s="24" t="s">
        <v>26</v>
      </c>
      <c r="J42" s="25" t="s">
        <v>25</v>
      </c>
      <c r="K42" s="48" t="s">
        <v>48</v>
      </c>
      <c r="L42" s="45" t="s">
        <v>48</v>
      </c>
      <c r="M42" s="45" t="s">
        <v>48</v>
      </c>
      <c r="N42" s="37" t="s">
        <v>28</v>
      </c>
      <c r="O42" s="46" t="s">
        <v>28</v>
      </c>
      <c r="P42" s="45" t="s">
        <v>48</v>
      </c>
      <c r="Q42" s="47" t="s">
        <v>97</v>
      </c>
      <c r="R42" s="41" t="s">
        <v>38</v>
      </c>
      <c r="S42" s="45" t="s">
        <v>48</v>
      </c>
      <c r="T42" s="21" t="s">
        <v>205</v>
      </c>
      <c r="AB42" s="42"/>
      <c r="AC42" s="21" t="s">
        <v>206</v>
      </c>
      <c r="AD42" s="21"/>
      <c r="AE42" s="21"/>
      <c r="AF42" s="33"/>
      <c r="AG42" s="33"/>
      <c r="AH42" s="33"/>
      <c r="AI42" s="33"/>
      <c r="AJ42" s="33"/>
      <c r="AK42" s="33"/>
    </row>
    <row r="43" spans="1:37" ht="15.75" customHeight="1">
      <c r="A43" s="21">
        <v>41</v>
      </c>
      <c r="B43" s="21" t="s">
        <v>207</v>
      </c>
      <c r="C43" s="21">
        <v>2024</v>
      </c>
      <c r="D43" s="21" t="s">
        <v>208</v>
      </c>
      <c r="E43" s="22" t="s">
        <v>24</v>
      </c>
      <c r="F43" s="23" t="s">
        <v>25</v>
      </c>
      <c r="G43" s="34" t="s">
        <v>36</v>
      </c>
      <c r="H43" s="21" t="s">
        <v>36</v>
      </c>
      <c r="I43" s="34" t="s">
        <v>36</v>
      </c>
      <c r="J43" s="35" t="s">
        <v>36</v>
      </c>
      <c r="K43" s="48" t="s">
        <v>48</v>
      </c>
      <c r="L43" s="37" t="s">
        <v>28</v>
      </c>
      <c r="M43" s="37" t="s">
        <v>28</v>
      </c>
      <c r="N43" s="38" t="s">
        <v>27</v>
      </c>
      <c r="O43" s="39" t="s">
        <v>27</v>
      </c>
      <c r="P43" s="37" t="s">
        <v>28</v>
      </c>
      <c r="Q43" s="40" t="s">
        <v>37</v>
      </c>
      <c r="R43" s="31" t="s">
        <v>30</v>
      </c>
      <c r="S43" s="37" t="s">
        <v>28</v>
      </c>
      <c r="T43" s="21" t="s">
        <v>209</v>
      </c>
      <c r="AB43" s="42"/>
      <c r="AC43" s="21" t="s">
        <v>210</v>
      </c>
      <c r="AD43" s="21"/>
      <c r="AE43" s="21"/>
      <c r="AF43" s="33"/>
      <c r="AG43" s="33"/>
      <c r="AH43" s="33"/>
      <c r="AI43" s="33"/>
      <c r="AJ43" s="33"/>
      <c r="AK43" s="33"/>
    </row>
    <row r="44" spans="1:37" ht="15.75" customHeight="1">
      <c r="A44" s="21">
        <v>42</v>
      </c>
      <c r="B44" s="21" t="s">
        <v>211</v>
      </c>
      <c r="C44" s="21">
        <v>2022</v>
      </c>
      <c r="D44" s="21" t="s">
        <v>212</v>
      </c>
      <c r="E44" s="22" t="s">
        <v>24</v>
      </c>
      <c r="F44" s="34" t="s">
        <v>36</v>
      </c>
      <c r="G44" s="23" t="s">
        <v>25</v>
      </c>
      <c r="H44" s="21" t="s">
        <v>25</v>
      </c>
      <c r="I44" s="23" t="s">
        <v>25</v>
      </c>
      <c r="J44" s="35" t="s">
        <v>36</v>
      </c>
      <c r="K44" s="36" t="s">
        <v>27</v>
      </c>
      <c r="L44" s="37" t="s">
        <v>28</v>
      </c>
      <c r="M44" s="45" t="s">
        <v>48</v>
      </c>
      <c r="N44" s="45" t="s">
        <v>48</v>
      </c>
      <c r="O44" s="46" t="s">
        <v>28</v>
      </c>
      <c r="P44" s="37" t="s">
        <v>28</v>
      </c>
      <c r="Q44" s="40" t="s">
        <v>37</v>
      </c>
      <c r="R44" s="31" t="s">
        <v>30</v>
      </c>
      <c r="S44" s="37" t="s">
        <v>28</v>
      </c>
      <c r="T44" s="21" t="s">
        <v>213</v>
      </c>
      <c r="AB44" s="42"/>
      <c r="AC44" s="21" t="s">
        <v>214</v>
      </c>
      <c r="AD44" s="21"/>
      <c r="AE44" s="21"/>
      <c r="AF44" s="33"/>
      <c r="AG44" s="33"/>
      <c r="AH44" s="33"/>
      <c r="AI44" s="33"/>
      <c r="AJ44" s="33"/>
      <c r="AK44" s="33"/>
    </row>
    <row r="45" spans="1:37" ht="15.75" customHeight="1">
      <c r="A45" s="21">
        <v>43</v>
      </c>
      <c r="B45" s="21" t="s">
        <v>215</v>
      </c>
      <c r="C45" s="21">
        <v>2018</v>
      </c>
      <c r="D45" s="21" t="s">
        <v>216</v>
      </c>
      <c r="E45" s="22" t="s">
        <v>24</v>
      </c>
      <c r="F45" s="23" t="s">
        <v>25</v>
      </c>
      <c r="G45" s="34" t="s">
        <v>36</v>
      </c>
      <c r="H45" s="21" t="s">
        <v>36</v>
      </c>
      <c r="I45" s="24" t="s">
        <v>26</v>
      </c>
      <c r="J45" s="35" t="s">
        <v>36</v>
      </c>
      <c r="K45" s="48" t="s">
        <v>48</v>
      </c>
      <c r="L45" s="37" t="s">
        <v>28</v>
      </c>
      <c r="M45" s="37" t="s">
        <v>28</v>
      </c>
      <c r="N45" s="45" t="s">
        <v>48</v>
      </c>
      <c r="O45" s="46" t="s">
        <v>28</v>
      </c>
      <c r="P45" s="45" t="s">
        <v>48</v>
      </c>
      <c r="Q45" s="44" t="s">
        <v>29</v>
      </c>
      <c r="R45" s="31" t="s">
        <v>30</v>
      </c>
      <c r="S45" s="37" t="s">
        <v>28</v>
      </c>
      <c r="T45" s="21" t="s">
        <v>217</v>
      </c>
      <c r="AB45" s="42"/>
      <c r="AC45" s="21" t="s">
        <v>218</v>
      </c>
      <c r="AD45" s="21"/>
      <c r="AE45" s="21"/>
      <c r="AF45" s="33"/>
      <c r="AG45" s="33"/>
      <c r="AH45" s="33"/>
      <c r="AI45" s="33"/>
      <c r="AJ45" s="33"/>
      <c r="AK45" s="33"/>
    </row>
    <row r="46" spans="1:37" ht="15.75" customHeight="1">
      <c r="A46" s="21">
        <v>44</v>
      </c>
      <c r="B46" s="21" t="s">
        <v>219</v>
      </c>
      <c r="C46" s="21">
        <v>2020</v>
      </c>
      <c r="D46" s="21" t="s">
        <v>220</v>
      </c>
      <c r="E46" s="22" t="s">
        <v>24</v>
      </c>
      <c r="F46" s="23" t="s">
        <v>25</v>
      </c>
      <c r="G46" s="23" t="s">
        <v>25</v>
      </c>
      <c r="H46" s="21" t="s">
        <v>36</v>
      </c>
      <c r="I46" s="24" t="s">
        <v>26</v>
      </c>
      <c r="J46" s="35" t="s">
        <v>36</v>
      </c>
      <c r="K46" s="43" t="s">
        <v>28</v>
      </c>
      <c r="L46" s="38" t="s">
        <v>27</v>
      </c>
      <c r="M46" s="37" t="s">
        <v>28</v>
      </c>
      <c r="N46" s="45" t="s">
        <v>48</v>
      </c>
      <c r="O46" s="39" t="s">
        <v>27</v>
      </c>
      <c r="P46" s="37" t="s">
        <v>28</v>
      </c>
      <c r="Q46" s="44" t="s">
        <v>29</v>
      </c>
      <c r="R46" s="41" t="s">
        <v>38</v>
      </c>
      <c r="S46" s="37" t="s">
        <v>28</v>
      </c>
      <c r="T46" s="21" t="s">
        <v>221</v>
      </c>
      <c r="AB46" s="42"/>
      <c r="AC46" s="21" t="s">
        <v>222</v>
      </c>
      <c r="AD46" s="21"/>
      <c r="AE46" s="21"/>
      <c r="AF46" s="33"/>
      <c r="AG46" s="33"/>
      <c r="AH46" s="33"/>
      <c r="AI46" s="33"/>
      <c r="AJ46" s="33"/>
      <c r="AK46" s="33"/>
    </row>
    <row r="47" spans="1:37" ht="15.75" customHeight="1" thickBot="1">
      <c r="A47" s="50">
        <v>45</v>
      </c>
      <c r="B47" s="50" t="s">
        <v>223</v>
      </c>
      <c r="C47" s="50">
        <v>2019</v>
      </c>
      <c r="D47" s="50" t="s">
        <v>224</v>
      </c>
      <c r="E47" s="51" t="s">
        <v>24</v>
      </c>
      <c r="F47" s="52" t="s">
        <v>25</v>
      </c>
      <c r="G47" s="53" t="s">
        <v>26</v>
      </c>
      <c r="H47" s="50" t="s">
        <v>26</v>
      </c>
      <c r="I47" s="54" t="s">
        <v>25</v>
      </c>
      <c r="J47" s="55" t="s">
        <v>36</v>
      </c>
      <c r="K47" s="56" t="s">
        <v>28</v>
      </c>
      <c r="L47" s="57" t="s">
        <v>28</v>
      </c>
      <c r="M47" s="58" t="s">
        <v>48</v>
      </c>
      <c r="N47" s="57" t="s">
        <v>28</v>
      </c>
      <c r="O47" s="59" t="s">
        <v>27</v>
      </c>
      <c r="P47" s="60" t="s">
        <v>28</v>
      </c>
      <c r="Q47" s="44" t="s">
        <v>29</v>
      </c>
      <c r="R47" s="41" t="s">
        <v>38</v>
      </c>
      <c r="S47" s="37" t="s">
        <v>28</v>
      </c>
      <c r="T47" s="21" t="s">
        <v>225</v>
      </c>
      <c r="AB47" s="42"/>
      <c r="AC47" s="21" t="s">
        <v>226</v>
      </c>
      <c r="AD47" s="21"/>
      <c r="AE47" s="21"/>
      <c r="AF47" s="33"/>
      <c r="AG47" s="33"/>
      <c r="AH47" s="33"/>
      <c r="AI47" s="33"/>
      <c r="AJ47" s="33"/>
      <c r="AK47" s="33"/>
    </row>
    <row r="48" spans="1:37" ht="15.75" customHeight="1" thickTop="1" thickBot="1">
      <c r="D48" s="21"/>
      <c r="P48" s="61" t="s">
        <v>227</v>
      </c>
      <c r="Q48" s="5"/>
      <c r="R48" s="62">
        <v>14</v>
      </c>
      <c r="S48" s="63"/>
    </row>
    <row r="49" spans="1:20" ht="15.75" customHeight="1" thickTop="1" thickBot="1">
      <c r="P49" s="64" t="s">
        <v>228</v>
      </c>
      <c r="Q49" s="19"/>
      <c r="R49" s="65">
        <v>31</v>
      </c>
      <c r="S49" s="63"/>
    </row>
    <row r="50" spans="1:20" ht="15.75" customHeight="1" thickTop="1"/>
    <row r="51" spans="1:20" ht="15.75" customHeight="1">
      <c r="O51" s="66" t="s">
        <v>229</v>
      </c>
      <c r="P51" s="67" t="s">
        <v>230</v>
      </c>
      <c r="Q51" s="67" t="s">
        <v>230</v>
      </c>
      <c r="S51" s="67" t="s">
        <v>230</v>
      </c>
    </row>
    <row r="52" spans="1:20" ht="15.75" customHeight="1">
      <c r="A52" s="68"/>
      <c r="B52" s="69"/>
      <c r="C52" s="69"/>
      <c r="D52" s="70"/>
      <c r="O52" s="71" t="s">
        <v>48</v>
      </c>
      <c r="P52" s="67">
        <v>3</v>
      </c>
      <c r="Q52" s="67">
        <v>4</v>
      </c>
      <c r="S52" s="67">
        <v>2</v>
      </c>
      <c r="T52" s="72">
        <f>2/45</f>
        <v>4.4444444444444446E-2</v>
      </c>
    </row>
    <row r="53" spans="1:20" ht="15.75" customHeight="1">
      <c r="A53" s="73"/>
      <c r="B53" s="74"/>
      <c r="C53" s="74"/>
      <c r="D53" s="75"/>
      <c r="O53" s="76" t="s">
        <v>28</v>
      </c>
      <c r="P53" s="67">
        <v>30</v>
      </c>
      <c r="Q53" s="67">
        <v>29</v>
      </c>
      <c r="S53" s="67">
        <v>33</v>
      </c>
      <c r="T53" s="72">
        <f>33/45</f>
        <v>0.73333333333333328</v>
      </c>
    </row>
    <row r="54" spans="1:20" ht="15.75" customHeight="1">
      <c r="A54" s="68"/>
      <c r="B54" s="69"/>
      <c r="C54" s="69"/>
      <c r="D54" s="70"/>
      <c r="O54" s="77" t="s">
        <v>27</v>
      </c>
      <c r="P54" s="67">
        <v>12</v>
      </c>
      <c r="Q54" s="67">
        <v>12</v>
      </c>
      <c r="S54" s="67">
        <v>10</v>
      </c>
      <c r="T54" s="72">
        <f>10/45</f>
        <v>0.22222222222222221</v>
      </c>
    </row>
    <row r="55" spans="1:20" ht="15.75" customHeight="1">
      <c r="A55" s="73">
        <v>23</v>
      </c>
      <c r="B55" s="74" t="s">
        <v>130</v>
      </c>
      <c r="C55" s="74" t="s">
        <v>231</v>
      </c>
      <c r="D55" s="75" t="s">
        <v>232</v>
      </c>
    </row>
    <row r="56" spans="1:20" ht="15.75" customHeight="1">
      <c r="A56" s="78">
        <v>28</v>
      </c>
      <c r="B56" s="79" t="s">
        <v>150</v>
      </c>
      <c r="C56" s="79" t="s">
        <v>231</v>
      </c>
      <c r="D56" s="80" t="s">
        <v>232</v>
      </c>
      <c r="E56" s="81"/>
      <c r="F56" s="81"/>
      <c r="G56" s="81"/>
    </row>
    <row r="57" spans="1:20" ht="15.75" customHeight="1">
      <c r="A57" s="78">
        <v>30</v>
      </c>
      <c r="B57" s="79" t="s">
        <v>158</v>
      </c>
      <c r="C57" s="79" t="s">
        <v>231</v>
      </c>
      <c r="D57" s="80" t="s">
        <v>232</v>
      </c>
      <c r="E57" s="81"/>
      <c r="F57" s="81"/>
      <c r="G57" s="81"/>
    </row>
    <row r="58" spans="1:20" ht="13.8">
      <c r="A58" s="68">
        <v>32</v>
      </c>
      <c r="B58" s="69" t="s">
        <v>167</v>
      </c>
      <c r="C58" s="69" t="s">
        <v>231</v>
      </c>
      <c r="D58" s="70" t="s">
        <v>232</v>
      </c>
    </row>
    <row r="59" spans="1:20" ht="15.75" customHeight="1">
      <c r="A59" s="78">
        <v>33</v>
      </c>
      <c r="B59" s="79" t="s">
        <v>171</v>
      </c>
      <c r="C59" s="79" t="s">
        <v>231</v>
      </c>
      <c r="D59" s="80" t="s">
        <v>232</v>
      </c>
      <c r="E59" s="81"/>
      <c r="F59" s="81"/>
      <c r="G59" s="81"/>
    </row>
    <row r="60" spans="1:20" ht="15.75" customHeight="1">
      <c r="A60" s="78">
        <v>34</v>
      </c>
      <c r="B60" s="79" t="s">
        <v>176</v>
      </c>
      <c r="C60" s="79" t="s">
        <v>231</v>
      </c>
      <c r="D60" s="80" t="s">
        <v>232</v>
      </c>
      <c r="E60" s="81"/>
      <c r="F60" s="81"/>
      <c r="G60" s="81"/>
    </row>
    <row r="61" spans="1:20" ht="15.75" customHeight="1">
      <c r="A61" s="68">
        <v>36</v>
      </c>
      <c r="B61" s="69" t="s">
        <v>186</v>
      </c>
      <c r="C61" s="69" t="s">
        <v>231</v>
      </c>
      <c r="D61" s="70" t="s">
        <v>232</v>
      </c>
    </row>
    <row r="62" spans="1:20" ht="15.75" customHeight="1">
      <c r="A62" s="78">
        <v>38</v>
      </c>
      <c r="B62" s="79" t="s">
        <v>194</v>
      </c>
      <c r="C62" s="79" t="s">
        <v>231</v>
      </c>
      <c r="D62" s="80" t="s">
        <v>232</v>
      </c>
      <c r="E62" s="81"/>
      <c r="F62" s="81"/>
      <c r="G62" s="81"/>
    </row>
    <row r="63" spans="1:20" ht="15.75" customHeight="1">
      <c r="A63" s="78">
        <v>39</v>
      </c>
      <c r="B63" s="79" t="s">
        <v>198</v>
      </c>
      <c r="C63" s="79" t="s">
        <v>231</v>
      </c>
      <c r="D63" s="80" t="s">
        <v>232</v>
      </c>
      <c r="E63" s="81"/>
      <c r="F63" s="81"/>
      <c r="G63" s="81"/>
    </row>
    <row r="64" spans="1:20" ht="13.8">
      <c r="A64" s="68">
        <v>40</v>
      </c>
      <c r="B64" s="69" t="s">
        <v>202</v>
      </c>
      <c r="C64" s="69" t="s">
        <v>231</v>
      </c>
      <c r="D64" s="70" t="s">
        <v>232</v>
      </c>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P48:Q48"/>
    <mergeCell ref="P49:Q49"/>
    <mergeCell ref="A1:E1"/>
    <mergeCell ref="F1:J1"/>
    <mergeCell ref="K1:O1"/>
    <mergeCell ref="P1:S1"/>
    <mergeCell ref="T1:AL1"/>
    <mergeCell ref="T2:AB2"/>
    <mergeCell ref="AC2:AN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Andrade</dc:creator>
  <cp:lastModifiedBy>Eduardo Andrade</cp:lastModifiedBy>
  <dcterms:created xsi:type="dcterms:W3CDTF">2025-12-19T18:48:00Z</dcterms:created>
  <dcterms:modified xsi:type="dcterms:W3CDTF">2025-12-19T18:48:33Z</dcterms:modified>
</cp:coreProperties>
</file>